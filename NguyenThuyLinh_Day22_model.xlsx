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273bb68e7b45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_README" sheetId="1" r:id="R17c1f46d91d9406e"/>
    <x:sheet xmlns:r="http://schemas.openxmlformats.org/officeDocument/2006/relationships" name="1_Cost_Job" sheetId="2" r:id="Rb49ede9b4e28480e"/>
    <x:sheet xmlns:r="http://schemas.openxmlformats.org/officeDocument/2006/relationships" name="2_Pricing" sheetId="3" r:id="R3067d5c9cfaf4d0f"/>
    <x:sheet xmlns:r="http://schemas.openxmlformats.org/officeDocument/2006/relationships" name="3_Value_Metric" sheetId="4" r:id="R594f5351ca7648ce"/>
    <x:sheet xmlns:r="http://schemas.openxmlformats.org/officeDocument/2006/relationships" name="4_Channel_Fit" sheetId="5" r:id="Rdd35bd7aad7c41d8"/>
    <x:sheet xmlns:r="http://schemas.openxmlformats.org/officeDocument/2006/relationships" name="5_90Day_Plan" sheetId="6" r:id="Rc6a2ac140ab749dd"/>
    <x:sheet xmlns:r="http://schemas.openxmlformats.org/officeDocument/2006/relationships" name="6_Benchmarks" sheetId="7" r:id="R3c97be5abc9b48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F"/>
      </x:patternFill>
    </x:fill>
    <x:fill>
      <x:patternFill patternType="solid">
        <x:fgColor rgb="FFFFF3CF"/>
      </x:patternFill>
    </x:fill>
  </x:fills>
  <x:borders count="2">
    <x:border/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3f2025dac846ce" /><Relationship Type="http://schemas.openxmlformats.org/officeDocument/2006/relationships/theme" Target="/xl/theme/theme1.xml" Id="Re1f97737830346f0" /><Relationship Type="http://schemas.openxmlformats.org/officeDocument/2006/relationships/sharedStrings" Target="/xl/sharedStrings.xml" Id="Rf6e482dfc0ac4c67" /><Relationship Type="http://schemas.openxmlformats.org/officeDocument/2006/relationships/worksheet" Target="/xl/worksheets/sheet1.xml" Id="R17c1f46d91d9406e" /><Relationship Type="http://schemas.openxmlformats.org/officeDocument/2006/relationships/worksheet" Target="/xl/worksheets/sheet2.xml" Id="Rb49ede9b4e28480e" /><Relationship Type="http://schemas.openxmlformats.org/officeDocument/2006/relationships/worksheet" Target="/xl/worksheets/sheet3.xml" Id="R3067d5c9cfaf4d0f" /><Relationship Type="http://schemas.openxmlformats.org/officeDocument/2006/relationships/worksheet" Target="/xl/worksheets/sheet4.xml" Id="R594f5351ca7648ce" /><Relationship Type="http://schemas.openxmlformats.org/officeDocument/2006/relationships/worksheet" Target="/xl/worksheets/sheet5.xml" Id="Rdd35bd7aad7c41d8" /><Relationship Type="http://schemas.openxmlformats.org/officeDocument/2006/relationships/worksheet" Target="/xl/worksheets/sheet6.xml" Id="Rc6a2ac140ab749dd" /><Relationship Type="http://schemas.openxmlformats.org/officeDocument/2006/relationships/worksheet" Target="/xl/worksheets/sheet7.xml" Id="R3c97be5abc9b48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0_README</x:v>
      </x:c>
      <x:c r="B1" s="6" t="str">
        <x:v>Giá trị / Công thức</x:v>
      </x:c>
      <x:c r="C1" s="6" t="str">
        <x:v>Ghi chú / bằng chứng</x:v>
      </x:c>
    </x:row>
    <x:row r="2">
      <x:c r="A2" t="str">
        <x:v>Sản phẩm</x:v>
      </x:c>
      <x:c r="B2" s="8" t="str">
        <x:v>P-028 – Kiosk hỗ trợ khách lưu trú</x:v>
      </x:c>
      <x:c r="C2" s="10" t="str">
        <x:v>Giả định chức năng AI: hướng dẫn/kiểm tra yêu cầu check-in, chưa xác minh trong repo</x:v>
      </x:c>
    </x:row>
    <x:row r="3">
      <x:c r="A3" t="str">
        <x:v>Ngày lập mô hình</x:v>
      </x:c>
      <x:c r="B3" s="8" t="str">
        <x:v>09/10/2026</x:v>
      </x:c>
      <x:c r="C3" s="10" t="str">
        <x:v>Ngày lập không đồng nghĩa ngày kiểm chứng API</x:v>
      </x:c>
    </x:row>
    <x:row r="4">
      <x:c r="A4" t="str">
        <x:v>Người thực hiện</x:v>
      </x:c>
      <x:c r="B4" s="8" t="str">
        <x:v>Nguyễn Thùy Linh</x:v>
      </x:c>
      <x:c r="C4" s="10" t="str">
        <x:v>Track 1 – Day 22</x:v>
      </x:c>
    </x:row>
    <x:row r="5">
      <x:c r="A5" t="str">
        <x:v>Trạng thái dữ liệu</x:v>
      </x:c>
      <x:c r="B5" s="8" t="str">
        <x:v>SCENARIO / CHƯA PHẢI KẾT QUẢ PILOT</x:v>
      </x:c>
      <x:c r="C5" s="10" t="str">
        <x:v>Không trình bày giả định như dữ liệu đã đo</x:v>
      </x:c>
    </x:row>
    <x:row r="6">
      <x:c r="A6" t="str">
        <x:v>Tiền tệ</x:v>
      </x:c>
      <x:c r="B6" s="8" t="str">
        <x:v>USD</x:v>
      </x:c>
      <x:c r="C6" s="10" t="str">
        <x:v>Không quy đổi VND để tránh dùng tỷ giá chưa xác thực</x:v>
      </x:c>
    </x:row>
    <x:row r="7">
      <x:c r="A7" t="str">
        <x:v>Cách dùng</x:v>
      </x:c>
      <x:c r="B7" s="8" t="str">
        <x:v>Sửa ô đầu vào ở các tab 1–5</x:v>
      </x:c>
      <x:c r="C7" s="10" t="str">
        <x:v>Các ô công thức bắt đầu bằng dấu =; không thay công thức</x:v>
      </x:c>
    </x:row>
    <x:row r="8">
      <x:c r="A8" t="str">
        <x:v>Nguồn template</x:v>
      </x:c>
      <x:c r="B8" s="8" t="str">
        <x:v>Bản làm độc lập; đã xác định template gốc trên Google Drive nhưng chưa sao chép định dạng ô gốc</x:v>
      </x:c>
      <x:c r="C8" s="10" t="str">
        <x:v>Không có file day22_monetization_model.xlsx gốc được tải lên</x:v>
      </x:c>
    </x:row>
    <x:row r="9">
      <x:c r="A9" t="str">
        <x:v>Quy tắc GM</x:v>
      </x:c>
      <x:c r="B9" s="8" t="str">
        <x:v>GM chỉ trừ COGS</x:v>
      </x:c>
      <x:c r="C9" s="10" t="str">
        <x:v>Overhead R&amp;D/sales báo cáo riêng; không tính vào GM</x:v>
      </x:c>
    </x:row>
    <x:row r="10">
      <x:c r="A10" t="str">
        <x:v>Kịch bản</x:v>
      </x:c>
      <x:c r="B10" s="8" t="str">
        <x:v>B: nhà cung cấp chịu chi phí xử lý ngoại lệ</x:v>
      </x:c>
      <x:c r="C10" s="10" t="str">
        <x:v>Phù hợp pilot có dịch vụ hỗ trợ, chưa xác nhận hợp đồng</x:v>
      </x:c>
    </x:row>
    <x:row r="11">
      <x:c r="B11" s="8"/>
      <x:c r="C11" s="10"/>
    </x:row>
    <x:row r="12">
      <x:c r="B12" s="8"/>
      <x:c r="C12" s="10"/>
    </x:row>
    <x:row r="13">
      <x:c r="B13" s="8"/>
      <x:c r="C13" s="10"/>
    </x:row>
    <x:row r="14">
      <x:c r="B14" s="8"/>
      <x:c r="C14" s="10"/>
    </x:row>
    <x:row r="15">
      <x:c r="B15" s="8"/>
      <x:c r="C15" s="10"/>
    </x:row>
    <x:row r="16">
      <x:c r="B16" s="8"/>
      <x:c r="C16" s="10"/>
    </x:row>
    <x:row r="17">
      <x:c r="B17" s="8"/>
      <x:c r="C17" s="10"/>
    </x:row>
    <x:row r="18">
      <x:c r="B18" s="8"/>
      <x:c r="C18" s="10"/>
    </x:row>
    <x:row r="19">
      <x:c r="B19" s="8"/>
      <x:c r="C19" s="10"/>
    </x:row>
    <x:row r="20">
      <x:c r="B20" s="8"/>
      <x:c r="C20" s="10"/>
    </x:row>
    <x:row r="21">
      <x:c r="B21" s="8"/>
      <x:c r="C21" s="10"/>
    </x:row>
    <x:row r="22">
      <x:c r="B22" s="8"/>
      <x:c r="C22" s="10"/>
    </x:row>
    <x:row r="23">
      <x:c r="B23" s="8"/>
      <x:c r="C23" s="10"/>
    </x:row>
    <x:row r="24">
      <x:c r="B24" s="8"/>
      <x:c r="C24" s="10"/>
    </x:row>
    <x:row r="25">
      <x:c r="B25" s="8"/>
      <x:c r="C25" s="10"/>
    </x:row>
    <x:row r="26">
      <x:c r="B26" s="8"/>
      <x:c r="C26" s="10"/>
    </x:row>
    <x:row r="27">
      <x:c r="B27" s="8"/>
      <x:c r="C27" s="10"/>
    </x:row>
    <x:row r="28">
      <x:c r="B28" s="8"/>
      <x:c r="C28" s="10"/>
    </x:row>
    <x:row r="29">
      <x:c r="B29" s="8"/>
      <x:c r="C29" s="10"/>
    </x:row>
    <x:row r="30">
      <x:c r="B30" s="8"/>
      <x:c r="C30" s="10"/>
    </x:row>
    <x:row r="31">
      <x:c r="B31" s="8"/>
      <x:c r="C31" s="10"/>
    </x:row>
    <x:row r="32">
      <x:c r="B32" s="8"/>
      <x:c r="C32" s="10"/>
    </x:row>
    <x:row r="33">
      <x:c r="B33" s="8"/>
      <x:c r="C33" s="10"/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1_Cost_Job</x:v>
      </x:c>
      <x:c r="B1" s="6" t="str">
        <x:v>Giá trị / Công thức</x:v>
      </x:c>
      <x:c r="C1" s="6" t="str">
        <x:v>Ghi chú / bằng chứng</x:v>
      </x:c>
    </x:row>
    <x:row r="2">
      <x:c r="A2" t="str">
        <x:v>S1 | Job</x:v>
      </x:c>
      <x:c r="B2" s="8" t="str">
        <x:v>1 yêu cầu check-in được xác minh và hoàn tất hướng dẫn</x:v>
      </x:c>
      <x:c r="C2" s="10" t="str">
        <x:v>Hoàn tất khi ghi nhận trạng thái thành công, không phải 1 lần gọi API</x:v>
      </x:c>
    </x:row>
    <x:row r="3">
      <x:c r="A3" t="str">
        <x:v>S2 | Jobs attempted/tháng</x:v>
      </x:c>
      <x:c r="B3" s="8" t="n">
        <x:v>1000</x:v>
      </x:c>
      <x:c r="C3" s="10" t="str">
        <x:v>Giả định thử nghiệm, chưa có traffic thật</x:v>
      </x:c>
    </x:row>
    <x:row r="4">
      <x:c r="A4" t="str">
        <x:v>S2 | Containment</x:v>
      </x:c>
      <x:c r="B4" s="8" t="n">
        <x:v>0.8</x:v>
      </x:c>
      <x:c r="C4" s="10" t="str">
        <x:v>Ước tính, CHƯA có eval P-028 xác nhận</x:v>
      </x:c>
    </x:row>
    <x:row r="5">
      <x:c r="A5" t="str">
        <x:v>S2 | Jobs completed</x:v>
      </x:c>
      <x:c r="B5" s="8" t="n">
        <x:f>B3*B4</x:f>
        <x:v>800</x:v>
      </x:c>
      <x:c r="C5" s="10" t="str">
        <x:v>Chỉ job AI hoàn thành; escalation không tính completed</x:v>
      </x:c>
    </x:row>
    <x:row r="6">
      <x:c r="A6" t="str">
        <x:v>S3 | Input USD/1M tokens</x:v>
      </x:c>
      <x:c r="B6" s="8" t="n">
        <x:v>1</x:v>
      </x:c>
      <x:c r="C6" s="10" t="str">
        <x:v>Claude Haiku 4.5, giá theo tài liệu lab 26/08/2026; cần kiểm tra live</x:v>
      </x:c>
    </x:row>
    <x:row r="7">
      <x:c r="A7" t="str">
        <x:v>S3 | Output USD/1M tokens</x:v>
      </x:c>
      <x:c r="B7" s="8" t="n">
        <x:v>5</x:v>
      </x:c>
      <x:c r="C7" s="10" t="str">
        <x:v>Cùng nguồn; không xác nhận là giá hiện hành</x:v>
      </x:c>
    </x:row>
    <x:row r="8">
      <x:c r="A8" t="str">
        <x:v>S3 | Cache write multiplier</x:v>
      </x:c>
      <x:c r="B8" s="8" t="n">
        <x:v>1.25</x:v>
      </x:c>
      <x:c r="C8" s="10" t="str">
        <x:v>Theo nguồn Anthropic trong tài liệu lab</x:v>
      </x:c>
    </x:row>
    <x:row r="9">
      <x:c r="A9" t="str">
        <x:v>S3 | Cache read multiplier</x:v>
      </x:c>
      <x:c r="B9" s="8" t="n">
        <x:v>0.1</x:v>
      </x:c>
      <x:c r="C9" s="10" t="str">
        <x:v>Theo nguồn Anthropic trong tài liệu lab</x:v>
      </x:c>
    </x:row>
    <x:row r="10">
      <x:c r="A10" t="str">
        <x:v>S3 | Lượt hội thoại/job</x:v>
      </x:c>
      <x:c r="B10" s="8" t="n">
        <x:v>4</x:v>
      </x:c>
      <x:c r="C10" s="10" t="str">
        <x:v>Giả định</x:v>
      </x:c>
    </x:row>
    <x:row r="11">
      <x:c r="A11" t="str">
        <x:v>S3 | Cached tokens/lượt</x:v>
      </x:c>
      <x:c r="B11" s="8" t="n">
        <x:v>2000</x:v>
      </x:c>
      <x:c r="C11" s="10" t="str">
        <x:v>Giả định</x:v>
      </x:c>
    </x:row>
    <x:row r="12">
      <x:c r="A12" t="str">
        <x:v>S3 | Fresh input tokens/lượt</x:v>
      </x:c>
      <x:c r="B12" s="8" t="n">
        <x:v>800</x:v>
      </x:c>
      <x:c r="C12" s="10" t="str">
        <x:v>Giả định</x:v>
      </x:c>
    </x:row>
    <x:row r="13">
      <x:c r="A13" t="str">
        <x:v>S3 | Output tokens/lượt</x:v>
      </x:c>
      <x:c r="B13" s="8" t="n">
        <x:v>200</x:v>
      </x:c>
      <x:c r="C13" s="10" t="str">
        <x:v>Giả định</x:v>
      </x:c>
    </x:row>
    <x:row r="14">
      <x:c r="A14" t="str">
        <x:v>S3 | API USD/job</x:v>
      </x:c>
      <x:c r="B14" s="8" t="n">
        <x:f>((B11*B6*B8)+(B10-1)*B11*B6*B9+B10*B12*B6+B10*B13*B7)/1000000</x:f>
        <x:v>0.0103</x:v>
      </x:c>
      <x:c r="C14" s="10" t="str">
        <x:v>1 cache write + 3 cache read + fresh + output</x:v>
      </x:c>
    </x:row>
    <x:row r="15">
      <x:c r="A15" t="str">
        <x:v>S4 | Speech USD/job</x:v>
      </x:c>
      <x:c r="B15" s="8" t="n">
        <x:v>0</x:v>
      </x:c>
      <x:c r="C15" s="10" t="str">
        <x:v>Không dùng thoại trong kịch bản text-only; lý do cho giá trị 0</x:v>
      </x:c>
    </x:row>
    <x:row r="16">
      <x:c r="A16" t="str">
        <x:v>S5 | Infra USD/attempt</x:v>
      </x:c>
      <x:c r="B16" s="8" t="n">
        <x:v>0.015</x:v>
      </x:c>
      <x:c r="C16" s="10" t="str">
        <x:v>Giả định phân bổ hosting, log, lưu trữ, embedding</x:v>
      </x:c>
    </x:row>
    <x:row r="17">
      <x:c r="A17" t="str">
        <x:v>S6 | Retry rate</x:v>
      </x:c>
      <x:c r="B17" s="8" t="n">
        <x:v>0.08</x:v>
      </x:c>
      <x:c r="C17" s="10" t="str">
        <x:v>Giả định 8%, chưa có log production</x:v>
      </x:c>
    </x:row>
    <x:row r="18">
      <x:c r="A18" t="str">
        <x:v>S7 | QA review rate</x:v>
      </x:c>
      <x:c r="B18" s="8" t="n">
        <x:v>0.1</x:v>
      </x:c>
      <x:c r="C18" s="10" t="str">
        <x:v>Giả định 10% attempts</x:v>
      </x:c>
    </x:row>
    <x:row r="19">
      <x:c r="A19" t="str">
        <x:v>S7 | QA phút/ca</x:v>
      </x:c>
      <x:c r="B19" s="8" t="n">
        <x:v>3</x:v>
      </x:c>
      <x:c r="C19" s="10" t="str">
        <x:v>Giả định</x:v>
      </x:c>
    </x:row>
    <x:row r="20">
      <x:c r="A20" t="str">
        <x:v>S7 | Escalation phút/ca</x:v>
      </x:c>
      <x:c r="B20" s="8" t="n">
        <x:v>8</x:v>
      </x:c>
      <x:c r="C20" s="10" t="str">
        <x:v>Giả định</x:v>
      </x:c>
    </x:row>
    <x:row r="21">
      <x:c r="A21" t="str">
        <x:v>S7 | HITL USD/giờ</x:v>
      </x:c>
      <x:c r="B21" s="8" t="n">
        <x:v>6</x:v>
      </x:c>
      <x:c r="C21" s="10" t="str">
        <x:v>Giả định chi phí nhân sự đầy đủ; cần báo giá thực tế</x:v>
      </x:c>
    </x:row>
    <x:row r="22">
      <x:c r="A22" t="str">
        <x:v>S7 | Biến thể HITL</x:v>
      </x:c>
      <x:c r="B22" s="8" t="str">
        <x:v>B</x:v>
      </x:c>
      <x:c r="C22" s="10" t="str">
        <x:v>Nhà cung cấp gánh escalation; cần xác nhận trách nhiệm hợp đồng</x:v>
      </x:c>
    </x:row>
    <x:row r="23">
      <x:c r="A23" t="str">
        <x:v>S8 | Overhead USD/tháng</x:v>
      </x:c>
      <x:c r="B23" s="8" t="n">
        <x:v>150</x:v>
      </x:c>
      <x:c r="C23" s="10" t="str">
        <x:v>Giả định R&amp;D/sales; loại khỏi GM, tính fully loaded riêng</x:v>
      </x:c>
    </x:row>
    <x:row r="24">
      <x:c r="A24" t="str">
        <x:v>API USD/tháng</x:v>
      </x:c>
      <x:c r="B24" s="8" t="n">
        <x:f>B3*(B14+B15)</x:f>
        <x:v>10.3</x:v>
      </x:c>
      <x:c r="C24" s="10" t="str">
        <x:v>API + speech trước retry</x:v>
      </x:c>
    </x:row>
    <x:row r="25">
      <x:c r="A25" t="str">
        <x:v>Retry USD/tháng</x:v>
      </x:c>
      <x:c r="B25" s="8" t="n">
        <x:f>B24*B17</x:f>
        <x:v>0.8240000000000001</x:v>
      </x:c>
      <x:c r="C25" s="10" t="str">
        <x:v>Retry áp dụng API</x:v>
      </x:c>
    </x:row>
    <x:row r="26">
      <x:c r="A26" t="str">
        <x:v>Infra USD/tháng</x:v>
      </x:c>
      <x:c r="B26" s="8" t="n">
        <x:f>B3*B16</x:f>
        <x:v>15</x:v>
      </x:c>
      <x:c r="C26" s="10" t="str">
        <x:v>Cho toàn bộ attempts</x:v>
      </x:c>
    </x:row>
    <x:row r="27">
      <x:c r="A27" t="str">
        <x:v>QA USD/tháng</x:v>
      </x:c>
      <x:c r="B27" s="8" t="n">
        <x:f>B3*B18*B19/60*B21</x:f>
        <x:v>30</x:v>
      </x:c>
      <x:c r="C27" s="10" t="str">
        <x:v>Chi phí QA nội bộ</x:v>
      </x:c>
    </x:row>
    <x:row r="28">
      <x:c r="A28" t="str">
        <x:v>Escalation USD/tháng</x:v>
      </x:c>
      <x:c r="B28" s="8" t="n">
        <x:f>B3*(1-B4)*B20/60*B21</x:f>
        <x:v>159.99999999999997</x:v>
      </x:c>
      <x:c r="C28" s="10" t="str">
        <x:v>Biến thể B, nhà cung cấp chịu</x:v>
      </x:c>
    </x:row>
    <x:row r="29">
      <x:c r="A29" t="str">
        <x:v>COGS USD/tháng</x:v>
      </x:c>
      <x:c r="B29" s="8" t="n">
        <x:f>SUM(B24:B28)</x:f>
        <x:v>216.12399999999997</x:v>
      </x:c>
      <x:c r="C29" s="10" t="str">
        <x:v>API, retry, infra, QA, escalation</x:v>
      </x:c>
    </x:row>
    <x:row r="30">
      <x:c r="A30" t="str">
        <x:v>Cost/completed job</x:v>
      </x:c>
      <x:c r="B30" s="8" t="n">
        <x:f>B29/B5</x:f>
        <x:v>0.270155</x:v>
      </x:c>
      <x:c r="C30" s="10" t="str">
        <x:v>Chia completed jobs</x:v>
      </x:c>
    </x:row>
    <x:row r="31">
      <x:c r="A31" t="str">
        <x:v>Fully loaded/job</x:v>
      </x:c>
      <x:c r="B31" s="8" t="n">
        <x:f>(B29+B23)/B5</x:f>
        <x:v>0.457655</x:v>
      </x:c>
      <x:c r="C31" s="10" t="str">
        <x:v>Bao gồm overhead, không dùng để tính GM</x:v>
      </x:c>
    </x:row>
    <x:row r="32">
      <x:c r="A32" t="str">
        <x:v>API no cache USD/job</x:v>
      </x:c>
      <x:c r="B32" s="8" t="n">
        <x:f>((B10*(B11+B12))*B6+B10*B13*B7)/1000000</x:f>
        <x:v>0.0152</x:v>
      </x:c>
      <x:c r="C32" s="10" t="str">
        <x:v>Giả định toàn bộ input trả giá fresh</x:v>
      </x:c>
    </x:row>
    <x:row r="33">
      <x:c r="A33" t="str">
        <x:v>Cache saving %</x:v>
      </x:c>
      <x:c r="B33" s="8" t="n">
        <x:f>1-B14/B32</x:f>
        <x:v>0.3223684210526315</x:v>
      </x:c>
      <x:c r="C33" s="10" t="str">
        <x:v>So với không caching</x:v>
      </x:c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2_Pricing</x:v>
      </x:c>
      <x:c r="B1" s="6" t="str">
        <x:v>Giá trị / Công thức</x:v>
      </x:c>
      <x:c r="C1" s="6" t="str">
        <x:v>Ghi chú / bằng chứng</x:v>
      </x:c>
    </x:row>
    <x:row r="2">
      <x:c r="A2" t="str">
        <x:v>Cost/job COGS</x:v>
      </x:c>
      <x:c r="B2" s="8" t="n">
        <x:f>'1_Cost_Job'!B30</x:f>
        <x:v>0.270155</x:v>
      </x:c>
      <x:c r="C2" s="10" t="str">
        <x:v>Liên kết tab 1</x:v>
      </x:c>
    </x:row>
    <x:row r="3">
      <x:c r="A3" t="str">
        <x:v>Giá sàn 3×</x:v>
      </x:c>
      <x:c r="B3" s="8" t="n">
        <x:f>3*B2</x:f>
        <x:v>0.810465</x:v>
      </x:c>
      <x:c r="C3" s="10" t="str">
        <x:v>Ngưỡng bài lab</x:v>
      </x:c>
    </x:row>
    <x:row r="4">
      <x:c r="A4" t="str">
        <x:v>Giá đề xuất / completed job</x:v>
      </x:c>
      <x:c r="B4" s="8" t="n">
        <x:v>0.9</x:v>
      </x:c>
      <x:c r="C4" s="10" t="str">
        <x:v>Giả thuyết, chưa có willingness-to-pay test</x:v>
      </x:c>
    </x:row>
    <x:row r="5">
      <x:c r="A5" t="str">
        <x:v>Gross margin</x:v>
      </x:c>
      <x:c r="B5" s="8" t="n">
        <x:f>1-B2/B4</x:f>
        <x:v>0.6998277777777778</x:v>
      </x:c>
      <x:c r="C5" s="10" t="str">
        <x:v>Không gồm overhead</x:v>
      </x:c>
    </x:row>
    <x:row r="6">
      <x:c r="A6" t="str">
        <x:v>Giá trị tiết kiệm/khách/tháng</x:v>
      </x:c>
      <x:c r="B6" s="8" t="n">
        <x:v>4000</x:v>
      </x:c>
      <x:c r="C6" s="10" t="str">
        <x:v>Giả định: thời gian lễ tân tiết kiệm, cần đo pilot</x:v>
      </x:c>
    </x:row>
    <x:row r="7">
      <x:c r="A7" t="str">
        <x:v>Giá trần 25% giá trị / job</x:v>
      </x:c>
      <x:c r="B7" s="8" t="n">
        <x:f>B6*0.25/'1_Cost_Job'!B5</x:f>
        <x:v>1.25</x:v>
      </x:c>
      <x:c r="C7" s="10" t="str">
        <x:v>Giá trần theo 25% value / completed job</x:v>
      </x:c>
    </x:row>
    <x:row r="8">
      <x:c r="A8" t="str">
        <x:v>Lương/chi phí outsource/tháng</x:v>
      </x:c>
      <x:c r="B8" s="8" t="n">
        <x:v>1500</x:v>
      </x:c>
      <x:c r="C8" s="10" t="str">
        <x:v>Giả định, không phải benchmark lương</x:v>
      </x:c>
    </x:row>
    <x:row r="9">
      <x:c r="A9" t="str">
        <x:v>Giá trần 70% lương / job</x:v>
      </x:c>
      <x:c r="B9" s="8" t="n">
        <x:f>B8*0.7/'1_Cost_Job'!B5</x:f>
        <x:v>1.3125</x:v>
      </x:c>
      <x:c r="C9" s="10" t="str">
        <x:v>Đối chiếu neo theo lao động</x:v>
      </x:c>
    </x:row>
    <x:row r="10">
      <x:c r="A10" t="str">
        <x:v>Revenue/tháng</x:v>
      </x:c>
      <x:c r="B10" s="8" t="n">
        <x:f>B4*'1_Cost_Job'!B5</x:f>
        <x:v>720</x:v>
      </x:c>
      <x:c r="C10" s="10" t="str">
        <x:v>Nếu tất cả completed jobs tính phí</x:v>
      </x:c>
    </x:row>
    <x:row r="11">
      <x:c r="A11" t="str">
        <x:v>Contribution sau overhead</x:v>
      </x:c>
      <x:c r="B11" s="8" t="n">
        <x:f>B10-'1_Cost_Job'!B29-'1_Cost_Job'!B23</x:f>
        <x:v>353.87600000000003</x:v>
      </x:c>
      <x:c r="C11" s="10" t="str">
        <x:v>Chỉ mô phỏng, chưa trừ CAC</x:v>
      </x:c>
    </x:row>
    <x:row r="12">
      <x:c r="A12" t="str">
        <x:v>GM target</x:v>
      </x:c>
      <x:c r="B12" s="8" t="n">
        <x:v>0.6</x:v>
      </x:c>
      <x:c r="C12" s="10" t="str">
        <x:v>Mục tiêu rubric</x:v>
      </x:c>
    </x:row>
    <x:row r="13">
      <x:c r="A13" t="str">
        <x:v>Breakeven containment</x:v>
      </x:c>
      <x:c r="B13" s="8" t="n">
        <x:f>('1_Cost_Job'!B24+'1_Cost_Job'!B25+'1_Cost_Job'!B26+'1_Cost_Job'!B27+'1_Cost_Job'!B3*'1_Cost_Job'!B20/60*'1_Cost_Job'!B21)/('1_Cost_Job'!B3*(B4*(1-B12)+'1_Cost_Job'!B20/60*'1_Cost_Job'!B21))</x:f>
        <x:v>0.7380379310344827</x:v>
      </x:c>
      <x:c r="C13" s="10" t="str">
        <x:v>Ngưỡng đạt GM 60%, escalation tăng khi containment giảm</x:v>
      </x:c>
    </x:row>
    <x:row r="14">
      <x:c r="A14" t="str">
        <x:v>Gap so với containment giả định</x:v>
      </x:c>
      <x:c r="B14" s="8" t="n">
        <x:f>'1_Cost_Job'!B4-B13</x:f>
        <x:v>0.06196206896551737</x:v>
      </x:c>
      <x:c r="C14" s="10" t="str">
        <x:v>Âm nghĩa là mô hình chưa đạt</x:v>
      </x:c>
    </x:row>
    <x:row r="15">
      <x:c r="A15" t="str">
        <x:v>Stress | 50% cost/job</x:v>
      </x:c>
      <x:c r="B15" s="8" t="n">
        <x:f>('1_Cost_Job'!B24+'1_Cost_Job'!B25+'1_Cost_Job'!B26+'1_Cost_Job'!B27+'1_Cost_Job'!B3*0.5*'1_Cost_Job'!B20/60*'1_Cost_Job'!B21)/('1_Cost_Job'!B3*0.5)</x:f>
        <x:v>0.9122480000000001</x:v>
      </x:c>
      <x:c r="C15" s="10" t="str">
        <x:v>COGS / completed</x:v>
      </x:c>
    </x:row>
    <x:row r="16">
      <x:c r="A16" t="str">
        <x:v>Stress | 60% cost/job</x:v>
      </x:c>
      <x:c r="B16" s="8" t="n">
        <x:f>('1_Cost_Job'!B24+'1_Cost_Job'!B25+'1_Cost_Job'!B26+'1_Cost_Job'!B27+'1_Cost_Job'!B3*0.4*'1_Cost_Job'!B20/60*'1_Cost_Job'!B21)/('1_Cost_Job'!B3*0.6)</x:f>
        <x:v>0.6268733333333334</x:v>
      </x:c>
      <x:c r="C16" s="10" t="str">
        <x:v>COGS / completed</x:v>
      </x:c>
    </x:row>
    <x:row r="17">
      <x:c r="A17" t="str">
        <x:v>Stress | 70% cost/job</x:v>
      </x:c>
      <x:c r="B17" s="8" t="n">
        <x:f>('1_Cost_Job'!B24+'1_Cost_Job'!B25+'1_Cost_Job'!B26+'1_Cost_Job'!B27+'1_Cost_Job'!B3*0.3*'1_Cost_Job'!B20/60*'1_Cost_Job'!B21)/('1_Cost_Job'!B3*0.7)</x:f>
        <x:v>0.42303428571428575</x:v>
      </x:c>
      <x:c r="C17" s="10" t="str">
        <x:v>COGS / completed</x:v>
      </x:c>
    </x:row>
    <x:row r="18">
      <x:c r="A18" t="str">
        <x:v>Stress | 80% cost/job</x:v>
      </x:c>
      <x:c r="B18" s="8" t="n">
        <x:f>'1_Cost_Job'!B30</x:f>
        <x:v>0.270155</x:v>
      </x:c>
      <x:c r="C18" s="10" t="str">
        <x:v>Base case</x:v>
      </x:c>
    </x:row>
    <x:row r="19">
      <x:c r="A19" t="str">
        <x:v>Stress | 90% cost/job</x:v>
      </x:c>
      <x:c r="B19" s="8" t="n">
        <x:f>('1_Cost_Job'!B24+'1_Cost_Job'!B25+'1_Cost_Job'!B26+'1_Cost_Job'!B27+'1_Cost_Job'!B3*0.1*'1_Cost_Job'!B20/60*'1_Cost_Job'!B21)/('1_Cost_Job'!B3*0.9)</x:f>
        <x:v>0.15124888888888888</x:v>
      </x:c>
      <x:c r="C19" s="10" t="str">
        <x:v>COGS / completed</x:v>
      </x:c>
    </x:row>
    <x:row r="20">
      <x:c r="B20" s="8"/>
      <x:c r="C20" s="10"/>
    </x:row>
    <x:row r="21">
      <x:c r="B21" s="8"/>
      <x:c r="C21" s="10"/>
    </x:row>
    <x:row r="22">
      <x:c r="B22" s="8"/>
      <x:c r="C22" s="10"/>
    </x:row>
    <x:row r="23">
      <x:c r="B23" s="8"/>
      <x:c r="C23" s="10"/>
    </x:row>
    <x:row r="24">
      <x:c r="B24" s="8"/>
      <x:c r="C24" s="10"/>
    </x:row>
    <x:row r="25">
      <x:c r="B25" s="8"/>
      <x:c r="C25" s="10"/>
    </x:row>
    <x:row r="26">
      <x:c r="B26" s="8"/>
      <x:c r="C26" s="10"/>
    </x:row>
    <x:row r="27">
      <x:c r="B27" s="8"/>
      <x:c r="C27" s="10"/>
    </x:row>
    <x:row r="28">
      <x:c r="B28" s="8"/>
      <x:c r="C28" s="10"/>
    </x:row>
    <x:row r="29">
      <x:c r="B29" s="8"/>
      <x:c r="C29" s="10"/>
    </x:row>
    <x:row r="30">
      <x:c r="B30" s="8"/>
      <x:c r="C30" s="10"/>
    </x:row>
    <x:row r="31">
      <x:c r="B31" s="8"/>
      <x:c r="C31" s="10"/>
    </x:row>
    <x:row r="32">
      <x:c r="B32" s="8"/>
      <x:c r="C32" s="10"/>
    </x:row>
    <x:row r="33">
      <x:c r="B33" s="8"/>
      <x:c r="C33" s="10"/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3_Value_Metric</x:v>
      </x:c>
      <x:c r="B1" s="6" t="str">
        <x:v>Giá trị / Công thức</x:v>
      </x:c>
      <x:c r="C1" s="6" t="str">
        <x:v>Ghi chú / bằng chứng</x:v>
      </x:c>
    </x:row>
    <x:row r="2">
      <x:c r="A2" t="str">
        <x:v>Buyer</x:v>
      </x:c>
      <x:c r="B2" s="8" t="str">
        <x:v>Quản lý vận hành khách sạn nhỏ</x:v>
      </x:c>
      <x:c r="C2" s="10" t="str">
        <x:v>Giả thuyết ICP: 20–80 phòng</x:v>
      </x:c>
    </x:row>
    <x:row r="3">
      <x:c r="A3" t="str">
        <x:v>Ngân sách</x:v>
      </x:c>
      <x:c r="B3" s="8" t="str">
        <x:v>Vận hành / chi phí lễ tân</x:v>
      </x:c>
      <x:c r="C3" s="10" t="str">
        <x:v>Người ký: chủ cơ sở hoặc quản lý được ủy quyền</x:v>
      </x:c>
    </x:row>
    <x:row r="4">
      <x:c r="A4" t="str">
        <x:v>A – công cụ</x:v>
      </x:c>
      <x:c r="B4" s="8" t="str">
        <x:v>Kiosk AI hỗ trợ check-in</x:v>
      </x:c>
      <x:c r="C4" s="10" t="str">
        <x:v>Dễ bị coi là phần mềm bổ sung</x:v>
      </x:c>
    </x:row>
    <x:row r="5">
      <x:c r="A5" t="str">
        <x:v>B – thay công việc</x:v>
      </x:c>
      <x:c r="B5" s="8" t="str">
        <x:v>Giảm thao tác tra cứu và hướng dẫn check-in lặp lại</x:v>
      </x:c>
      <x:c r="C5" s="10" t="str">
        <x:v>Chọn B vì ngân sách vận hành gắn với thời gian xử lý</x:v>
      </x:c>
    </x:row>
    <x:row r="6">
      <x:c r="A6" t="str">
        <x:v>Attribution</x:v>
      </x:c>
      <x:c r="B6" s="8" t="str">
        <x:v>THẤP / chưa kiểm chứng</x:v>
      </x:c>
      <x:c r="C6" s="10" t="str">
        <x:v>Chưa có log đối chiếu kiosk vs lễ tân và xác nhận hoàn tất</x:v>
      </x:c>
    </x:row>
    <x:row r="7">
      <x:c r="A7" t="str">
        <x:v>Autonomy</x:v>
      </x:c>
      <x:c r="B7" s="8" t="str">
        <x:v>THẤP / chưa kiểm chứng</x:v>
      </x:c>
      <x:c r="C7" s="10" t="str">
        <x:v>Có bước xác minh booking và can thiệp khi lỗi</x:v>
      </x:c>
    </x:row>
    <x:row r="8">
      <x:c r="A8" t="str">
        <x:v>Value metric</x:v>
      </x:c>
      <x:c r="B8" s="8" t="str">
        <x:v>Usage – mỗi check-in AI hoàn tất</x:v>
      </x:c>
      <x:c r="C8" s="10" t="str">
        <x:v>Tính theo completed job, nhưng không tuyên bố outcome pricing được xác thực</x:v>
      </x:c>
    </x:row>
    <x:row r="9">
      <x:c r="A9" t="str">
        <x:v>Market override</x:v>
      </x:c>
      <x:c r="B9" s="8" t="str">
        <x:v>Usage gắn sự kiện hoàn tất; không cam kết outcome</x:v>
      </x:c>
      <x:c r="C9" s="10" t="str">
        <x:v>Tránh tranh chấp attribution khi chưa có eval</x:v>
      </x:c>
    </x:row>
    <x:row r="10">
      <x:c r="A10" t="str">
        <x:v>Decision note 1</x:v>
      </x:c>
      <x:c r="B10" s="8" t="str">
        <x:v>Chọn usage theo check-in hoàn tất có log.</x:v>
      </x:c>
      <x:c r="C10" s="10" t="str">
        <x:v>Không thu theo số API call</x:v>
      </x:c>
    </x:row>
    <x:row r="11">
      <x:c r="A11" t="str">
        <x:v>Decision note 2</x:v>
      </x:c>
      <x:c r="B11" s="8" t="str">
        <x:v>Attribution/autonomy hiện chưa có số đo tin cậy.</x:v>
      </x:c>
      <x:c r="C11" s="10" t="str">
        <x:v>Cần pilot để đo tỉ lệ xử lý độc lập</x:v>
      </x:c>
    </x:row>
    <x:row r="12">
      <x:c r="A12" t="str">
        <x:v>Decision note 3</x:v>
      </x:c>
      <x:c r="B12" s="8" t="str">
        <x:v>Chưa bán outcome vì chưa chứng minh AI tạo ra kết quả.</x:v>
      </x:c>
      <x:c r="C12" s="10" t="str">
        <x:v>Nâng cấp sau khi có eval và audit trail</x:v>
      </x:c>
    </x:row>
    <x:row r="13">
      <x:c r="A13" t="str">
        <x:v>Benchmark 1</x:v>
      </x:c>
      <x:c r="B13" s="8" t="str">
        <x:v>Intercom Fin – $0.99/resolution</x:v>
      </x:c>
      <x:c r="C13" s="10" t="str">
        <x:v>https://fin.ai/pricing/ (khác ngành, benchmark cách đếm)</x:v>
      </x:c>
    </x:row>
    <x:row r="14">
      <x:c r="A14" t="str">
        <x:v>Benchmark 2</x:v>
      </x:c>
      <x:c r="B14" s="8" t="str">
        <x:v>Salesforce Agentforce – $0.10/action</x:v>
      </x:c>
      <x:c r="C14" s="10" t="str">
        <x:v>https://www.salesforce.com/agentforce/pricing/ (khác ngành, benchmark usage)</x:v>
      </x:c>
    </x:row>
    <x:row r="15">
      <x:c r="A15" t="str">
        <x:v>Benchmark caveat</x:v>
      </x:c>
      <x:c r="B15" s="8" t="str">
        <x:v>Chưa tìm được hai sản phẩm kiosk cùng job có giá công khai</x:v>
      </x:c>
      <x:c r="C15" s="10" t="str">
        <x:v>Không coi benchmark liên ngành là bằng chứng willingness-to-pay</x:v>
      </x:c>
    </x:row>
    <x:row r="16">
      <x:c r="B16" s="8"/>
      <x:c r="C16" s="10"/>
    </x:row>
    <x:row r="17">
      <x:c r="B17" s="8"/>
      <x:c r="C17" s="10"/>
    </x:row>
    <x:row r="18">
      <x:c r="B18" s="8"/>
      <x:c r="C18" s="10"/>
    </x:row>
    <x:row r="19">
      <x:c r="B19" s="8"/>
      <x:c r="C19" s="10"/>
    </x:row>
    <x:row r="20">
      <x:c r="B20" s="8"/>
      <x:c r="C20" s="10"/>
    </x:row>
    <x:row r="21">
      <x:c r="B21" s="8"/>
      <x:c r="C21" s="10"/>
    </x:row>
    <x:row r="22">
      <x:c r="B22" s="8"/>
      <x:c r="C22" s="10"/>
    </x:row>
    <x:row r="23">
      <x:c r="B23" s="8"/>
      <x:c r="C23" s="10"/>
    </x:row>
    <x:row r="24">
      <x:c r="B24" s="8"/>
      <x:c r="C24" s="10"/>
    </x:row>
    <x:row r="25">
      <x:c r="B25" s="8"/>
      <x:c r="C25" s="10"/>
    </x:row>
    <x:row r="26">
      <x:c r="B26" s="8"/>
      <x:c r="C26" s="10"/>
    </x:row>
    <x:row r="27">
      <x:c r="B27" s="8"/>
      <x:c r="C27" s="10"/>
    </x:row>
    <x:row r="28">
      <x:c r="B28" s="8"/>
      <x:c r="C28" s="10"/>
    </x:row>
    <x:row r="29">
      <x:c r="B29" s="8"/>
      <x:c r="C29" s="10"/>
    </x:row>
    <x:row r="30">
      <x:c r="B30" s="8"/>
      <x:c r="C30" s="10"/>
    </x:row>
    <x:row r="31">
      <x:c r="B31" s="8"/>
      <x:c r="C31" s="10"/>
    </x:row>
    <x:row r="32">
      <x:c r="B32" s="8"/>
      <x:c r="C32" s="10"/>
    </x:row>
    <x:row r="33">
      <x:c r="B33" s="8"/>
      <x:c r="C33" s="10"/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4_Channel_Fit</x:v>
      </x:c>
      <x:c r="B1" s="6" t="str">
        <x:v>Giá trị / Công thức</x:v>
      </x:c>
      <x:c r="C1" s="6" t="str">
        <x:v>Ghi chú / bằng chứng</x:v>
      </x:c>
    </x:row>
    <x:row r="2">
      <x:c r="A2" t="str">
        <x:v>Segment</x:v>
      </x:c>
      <x:c r="B2" s="8" t="str">
        <x:v>SMB khách sạn độc lập</x:v>
      </x:c>
      <x:c r="C2" s="10" t="str">
        <x:v>Pilot mục tiêu 20–80 phòng, chưa xác thực</x:v>
      </x:c>
    </x:row>
    <x:row r="3">
      <x:c r="A3" t="str">
        <x:v>Channel 90 ngày</x:v>
      </x:c>
      <x:c r="B3" s="8" t="str">
        <x:v>Sales-Led – founder-led outbound</x:v>
      </x:c>
      <x:c r="C3" s="10" t="str">
        <x:v>1 kênh duy nhất; không tuyển AE ở giai đoạn pilot</x:v>
      </x:c>
    </x:row>
    <x:row r="4">
      <x:c r="A4" t="str">
        <x:v>ARPU USD/tháng</x:v>
      </x:c>
      <x:c r="B4" s="8" t="n">
        <x:f>'2_Pricing'!B10</x:f>
        <x:v>720</x:v>
      </x:c>
      <x:c r="C4" s="10" t="str">
        <x:v>Tính từ 800 completed job/tháng</x:v>
      </x:c>
    </x:row>
    <x:row r="5">
      <x:c r="A5" t="str">
        <x:v>GM</x:v>
      </x:c>
      <x:c r="B5" s="8" t="n">
        <x:f>'2_Pricing'!B5</x:f>
        <x:v>0.6998277777777778</x:v>
      </x:c>
      <x:c r="C5" s="10" t="str">
        <x:v>Link tab pricing</x:v>
      </x:c>
    </x:row>
    <x:row r="6">
      <x:c r="A6" t="str">
        <x:v>Payback months</x:v>
      </x:c>
      <x:c r="B6" s="8" t="n">
        <x:v>12</x:v>
      </x:c>
      <x:c r="C6" s="10" t="str">
        <x:v>SMB benchmark trong tài liệu lab</x:v>
      </x:c>
    </x:row>
    <x:row r="7">
      <x:c r="A7" t="str">
        <x:v>CAC budget USD</x:v>
      </x:c>
      <x:c r="B7" s="8" t="n">
        <x:f>B4*B5*B6</x:f>
        <x:v>6046.512000000001</x:v>
      </x:c>
      <x:c r="C7" s="10" t="str">
        <x:v>ARPU $720 × GM 69.9828% × 12 = $6,046.51; đây là CAC budget, không phải $504</x:v>
      </x:c>
    </x:row>
    <x:row r="8">
      <x:c r="A8" t="str">
        <x:v>ACV USD</x:v>
      </x:c>
      <x:c r="B8" s="8" t="n">
        <x:f>B4*12</x:f>
        <x:v>8640</x:v>
      </x:c>
      <x:c r="C8" s="10" t="str">
        <x:v>Annual contract value</x:v>
      </x:c>
    </x:row>
    <x:row r="9">
      <x:c r="A9" t="str">
        <x:v>AE quota USD/năm</x:v>
      </x:c>
      <x:c r="B9" s="8" t="n">
        <x:v>500000</x:v>
      </x:c>
      <x:c r="C9" s="10" t="str">
        <x:v>Benchmark minh họa Tunguz 2016, KHÔNG phải quota Việt Nam</x:v>
      </x:c>
    </x:row>
    <x:row r="10">
      <x:c r="A10" t="str">
        <x:v>Ngày làm việc/năm</x:v>
      </x:c>
      <x:c r="B10" s="8" t="n">
        <x:v>240</x:v>
      </x:c>
      <x:c r="C10" s="10" t="str">
        <x:v>Giả định</x:v>
      </x:c>
    </x:row>
    <x:row r="11">
      <x:c r="A11" t="str">
        <x:v>Deals/AE/ngày</x:v>
      </x:c>
      <x:c r="B11" s="8" t="n">
        <x:f>B9/B8/B10</x:f>
        <x:v>0.24112654320987656</x:v>
      </x:c>
      <x:c r="C11" s="10" t="str">
        <x:v>Kiểm tra feasibility nếu dùng AE chuyên nghiệp</x:v>
      </x:c>
    </x:row>
    <x:row r="12">
      <x:c r="A12" t="str">
        <x:v>Cost/opportunity USD</x:v>
      </x:c>
      <x:c r="B12" s="8" t="n">
        <x:v>6300</x:v>
      </x:c>
      <x:c r="C12" s="10" t="str">
        <x:v>ICONIQ 2026 theo đề, enterprise/SMB không tương đương</x:v>
      </x:c>
    </x:row>
    <x:row r="13">
      <x:c r="A13" t="str">
        <x:v>Win rate</x:v>
      </x:c>
      <x:c r="B13" s="8" t="n">
        <x:v>0.25</x:v>
      </x:c>
      <x:c r="C13" s="10" t="str">
        <x:v>Giả định, chưa có pipeline</x:v>
      </x:c>
    </x:row>
    <x:row r="14">
      <x:c r="A14" t="str">
        <x:v>CAC rep-driven USD</x:v>
      </x:c>
      <x:c r="B14" s="8" t="n">
        <x:f>B12/B13</x:f>
        <x:v>25200</x:v>
      </x:c>
      <x:c r="C14" s="10" t="str">
        <x:v>Benchmark quốc tế, không phải CAC địa phương</x:v>
      </x:c>
    </x:row>
    <x:row r="15">
      <x:c r="A15" t="str">
        <x:v>CAC gap ×</x:v>
      </x:c>
      <x:c r="B15" s="8" t="n">
        <x:f>B14/B7</x:f>
        <x:v>4.167692051218951</x:v>
      </x:c>
      <x:c r="C15" s="10" t="str">
        <x:v>So với ngân sách CAC</x:v>
      </x:c>
    </x:row>
    <x:row r="16">
      <x:c r="A16" t="str">
        <x:v>Pilot outbound budget USD</x:v>
      </x:c>
      <x:c r="B16" s="8" t="n">
        <x:v>120</x:v>
      </x:c>
      <x:c r="C16" s="10" t="str">
        <x:v>Giả định 30 ngày founder-led; không gồm toàn bộ lương founder</x:v>
      </x:c>
    </x:row>
    <x:row r="17">
      <x:c r="A17" t="str">
        <x:v>Pilot opportunities</x:v>
      </x:c>
      <x:c r="B17" s="8" t="n">
        <x:v>6</x:v>
      </x:c>
      <x:c r="C17" s="10" t="str">
        <x:v>Mục tiêu 30 ngày, chưa thực hiện</x:v>
      </x:c>
    </x:row>
    <x:row r="18">
      <x:c r="A18" t="str">
        <x:v>Pilot wins</x:v>
      </x:c>
      <x:c r="B18" s="8" t="n">
        <x:v>1</x:v>
      </x:c>
      <x:c r="C18" s="10" t="str">
        <x:v>Mục tiêu, chưa có hợp đồng</x:v>
      </x:c>
    </x:row>
    <x:row r="19">
      <x:c r="A19" t="str">
        <x:v>Pilot CAC USD</x:v>
      </x:c>
      <x:c r="B19" s="8" t="n">
        <x:f>B16/B18</x:f>
        <x:v>120</x:v>
      </x:c>
      <x:c r="C19" s="10" t="str">
        <x:v>$120/1 win là mục tiêu giả định, chưa phải CAC đã đo; phải tính cả thời gian founder</x:v>
      </x:c>
    </x:row>
    <x:row r="20">
      <x:c r="A20" t="str">
        <x:v>Channel decision</x:v>
      </x:c>
      <x:c r="B20" s="8" t="str">
        <x:v>Founder-led sales pilot, chưa scale AE</x:v>
      </x:c>
      <x:c r="C20" s="10" t="str">
        <x:v>Nếu CAC đầy đủ vượt ngân sách, dừng hoặc đổi pricing</x:v>
      </x:c>
    </x:row>
    <x:row r="21">
      <x:c r="B21" s="8"/>
      <x:c r="C21" s="10"/>
    </x:row>
    <x:row r="22">
      <x:c r="B22" s="8"/>
      <x:c r="C22" s="10"/>
    </x:row>
    <x:row r="23">
      <x:c r="B23" s="8"/>
      <x:c r="C23" s="10"/>
    </x:row>
    <x:row r="24">
      <x:c r="B24" s="8"/>
      <x:c r="C24" s="10"/>
    </x:row>
    <x:row r="25">
      <x:c r="B25" s="8"/>
      <x:c r="C25" s="10"/>
    </x:row>
    <x:row r="26">
      <x:c r="B26" s="8"/>
      <x:c r="C26" s="10"/>
    </x:row>
    <x:row r="27">
      <x:c r="B27" s="8"/>
      <x:c r="C27" s="10"/>
    </x:row>
    <x:row r="28">
      <x:c r="B28" s="8"/>
      <x:c r="C28" s="10"/>
    </x:row>
    <x:row r="29">
      <x:c r="B29" s="8"/>
      <x:c r="C29" s="10"/>
    </x:row>
    <x:row r="30">
      <x:c r="B30" s="8"/>
      <x:c r="C30" s="10"/>
    </x:row>
    <x:row r="31">
      <x:c r="B31" s="8"/>
      <x:c r="C31" s="10"/>
    </x:row>
    <x:row r="32">
      <x:c r="B32" s="8"/>
      <x:c r="C32" s="10"/>
    </x:row>
    <x:row r="33">
      <x:c r="B33" s="8"/>
      <x:c r="C33" s="10"/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5_90Day_Plan</x:v>
      </x:c>
      <x:c r="B1" s="6" t="str">
        <x:v>Giá trị / Công thức</x:v>
      </x:c>
      <x:c r="C1" s="6" t="str">
        <x:v>Ghi chú / bằng chứng</x:v>
      </x:c>
    </x:row>
    <x:row r="2">
      <x:c r="A2" t="str">
        <x:v>Pain moment</x:v>
      </x:c>
      <x:c r="B2" s="8" t="str">
        <x:v>14:00, khách đến check-in, lễ tân tra mã booking trên PMS và phải giải thích lại quy trình</x:v>
      </x:c>
      <x:c r="C2" s="10" t="str">
        <x:v>Giờ là giả thuyết cần xác minh qua phỏng vấn</x:v>
      </x:c>
    </x:row>
    <x:row r="3">
      <x:c r="A3" t="str">
        <x:v>Integration surface</x:v>
      </x:c>
      <x:c r="B3" s="8" t="str">
        <x:v>Màn hình kiosk ở quầy + API/webhook trạng thái booking từ PMS</x:v>
      </x:c>
      <x:c r="C3" s="10" t="str">
        <x:v>Chưa có xác nhận tích hợp PMS cụ thể</x:v>
      </x:c>
    </x:row>
    <x:row r="4">
      <x:c r="A4" t="str">
        <x:v>Ngày 1–30</x:v>
      </x:c>
      <x:c r="B4" s="8" t="str">
        <x:v>Linh: phỏng vấn 8 quản lý/lễ tân, shadow 20 check-in; 2 cơ sở đồng ý xem demo</x:v>
      </x:c>
      <x:c r="C4" s="10" t="str">
        <x:v>Learning, không scale; mục tiêu chưa đạt</x:v>
      </x:c>
    </x:row>
    <x:row r="5">
      <x:c r="A5" t="str">
        <x:v>Ngày 31–60</x:v>
      </x:c>
      <x:c r="B5" s="8" t="str">
        <x:v>Linh + kỹ thuật: 1 pilot, ≥100 attempts, gắn log success/escalate/retry</x:v>
      </x:c>
      <x:c r="C5" s="10" t="str">
        <x:v>Phải xin đồng ý xử lý dữ liệu và có fallback</x:v>
      </x:c>
    </x:row>
    <x:row r="6">
      <x:c r="A6" t="str">
        <x:v>Ngày 61–90</x:v>
      </x:c>
      <x:c r="B6" s="8" t="str">
        <x:v>Linh: báo cáo pilot, thử 2 mức giá với 5 người quyết định, mục tiêu 1 LOI</x:v>
      </x:c>
      <x:c r="C6" s="10" t="str">
        <x:v>Không coi LOI là doanh thu</x:v>
      </x:c>
    </x:row>
    <x:row r="7">
      <x:c r="A7" t="str">
        <x:v>Tháng 4+</x:v>
      </x:c>
      <x:c r="B7" s="8" t="str">
        <x:v>Chỉ mở sang chuỗi mini-hotel nếu containment ≥ ngưỡng GM và có 1 khách trả phí</x:v>
      </x:c>
      <x:c r="C7" s="10" t="str">
        <x:v>Điều kiện mở rộng, chưa thực hiện</x:v>
      </x:c>
    </x:row>
    <x:row r="8">
      <x:c r="A8" t="str">
        <x:v>Eval Results</x:v>
      </x:c>
      <x:c r="B8" s="8" t="str">
        <x:v>CHƯA CÓ – Linh + kỹ thuật, hạn 31/10/2026</x:v>
      </x:c>
      <x:c r="C8" s="10" t="str">
        <x:v>Tập ≥100 ca, đối chiếu thủ công, confusion matrix, containment</x:v>
      </x:c>
    </x:row>
    <x:row r="9">
      <x:c r="A9" t="str">
        <x:v>Procurement Q&amp;A</x:v>
      </x:c>
      <x:c r="B9" s="8" t="str">
        <x:v>CHƯA CÓ – Linh + kỹ thuật, hạn 25/10/2026</x:v>
      </x:c>
      <x:c r="C9" s="10" t="str">
        <x:v>Hallucination fallback; data training &amp; retention; export/delete khi ngừng</x:v>
      </x:c>
    </x:row>
    <x:row r="10">
      <x:c r="A10" t="str">
        <x:v>Pilot Report</x:v>
      </x:c>
      <x:c r="B10" s="8" t="str">
        <x:v>CHƯA CÓ – Linh, hạn 30/11/2026</x:v>
      </x:c>
      <x:c r="C10" s="10" t="str">
        <x:v>Báo cáo 4 tuần, volume, success, labor minutes, escalations</x:v>
      </x:c>
    </x:row>
    <x:row r="11">
      <x:c r="A11" t="str">
        <x:v>AI critique 1</x:v>
      </x:c>
      <x:c r="B11" s="8" t="str">
        <x:v>ACCEPT: tính escalation theo biến thể B, denominator completed</x:v>
      </x:c>
      <x:c r="C11" s="10" t="str">
        <x:v>Stress test theo prompt 4.7.1, tự rà soát logic</x:v>
      </x:c>
    </x:row>
    <x:row r="12">
      <x:c r="A12" t="str">
        <x:v>AI critique 2</x:v>
      </x:c>
      <x:c r="B12" s="8" t="str">
        <x:v>ACCEPT: không dùng outcome vì thiếu attribution</x:v>
      </x:c>
      <x:c r="C12" s="10" t="str">
        <x:v>Value Metric Challenger 4.7.2; chưa có test độc lập</x:v>
      </x:c>
    </x:row>
    <x:row r="13">
      <x:c r="A13" t="str">
        <x:v>AI critique 3</x:v>
      </x:c>
      <x:c r="B13" s="8" t="str">
        <x:v>PARTIAL: founder-led vẫn tốn giờ công, cần time tracking</x:v>
      </x:c>
      <x:c r="C13" s="10" t="str">
        <x:v>Prompt 4.7.3; phản biện kênh</x:v>
      </x:c>
    </x:row>
    <x:row r="14">
      <x:c r="A14" t="str">
        <x:v>AI critique 4</x:v>
      </x:c>
      <x:c r="B14" s="8" t="str">
        <x:v>ACCEPT: giá trị tiết kiệm $4,000 chưa được xác minh</x:v>
      </x:c>
      <x:c r="C14" s="10" t="str">
        <x:v>Prompt 4.7.1; không dùng làm cam kết bán hàng</x:v>
      </x:c>
    </x:row>
    <x:row r="15">
      <x:c r="A15" t="str">
        <x:v>Risk gate</x:v>
      </x:c>
      <x:c r="B15" s="8" t="str">
        <x:v>Chưa có eval P-028 nên không khẳng định đạt GM thực tế</x:v>
      </x:c>
      <x:c r="C15" s="10" t="str">
        <x:v>Đo containment và HITL; nếu &lt;73.8% phải tăng giá hoặc giảm escalation</x:v>
      </x:c>
    </x:row>
    <x:row r="16">
      <x:c r="B16" s="8"/>
      <x:c r="C16" s="10"/>
    </x:row>
    <x:row r="17">
      <x:c r="B17" s="8"/>
      <x:c r="C17" s="10"/>
    </x:row>
    <x:row r="18">
      <x:c r="B18" s="8"/>
      <x:c r="C18" s="10"/>
    </x:row>
    <x:row r="19">
      <x:c r="B19" s="8"/>
      <x:c r="C19" s="10"/>
    </x:row>
    <x:row r="20">
      <x:c r="B20" s="8"/>
      <x:c r="C20" s="10"/>
    </x:row>
    <x:row r="21">
      <x:c r="B21" s="8"/>
      <x:c r="C21" s="10"/>
    </x:row>
    <x:row r="22">
      <x:c r="B22" s="8"/>
      <x:c r="C22" s="10"/>
    </x:row>
    <x:row r="23">
      <x:c r="B23" s="8"/>
      <x:c r="C23" s="10"/>
    </x:row>
    <x:row r="24">
      <x:c r="B24" s="8"/>
      <x:c r="C24" s="10"/>
    </x:row>
    <x:row r="25">
      <x:c r="B25" s="8"/>
      <x:c r="C25" s="10"/>
    </x:row>
    <x:row r="26">
      <x:c r="B26" s="8"/>
      <x:c r="C26" s="10"/>
    </x:row>
    <x:row r="27">
      <x:c r="B27" s="8"/>
      <x:c r="C27" s="10"/>
    </x:row>
    <x:row r="28">
      <x:c r="B28" s="8"/>
      <x:c r="C28" s="10"/>
    </x:row>
    <x:row r="29">
      <x:c r="B29" s="8"/>
      <x:c r="C29" s="10"/>
    </x:row>
    <x:row r="30">
      <x:c r="B30" s="8"/>
      <x:c r="C30" s="10"/>
    </x:row>
    <x:row r="31">
      <x:c r="B31" s="8"/>
      <x:c r="C31" s="10"/>
    </x:row>
    <x:row r="32">
      <x:c r="B32" s="8"/>
      <x:c r="C32" s="10"/>
    </x:row>
    <x:row r="33">
      <x:c r="B33" s="8"/>
      <x:c r="C33" s="10"/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40" hidden="0" customWidth="1"/>
    <x:col min="3" max="3" width="90" hidden="0" customWidth="1"/>
  </x:cols>
  <x:sheetData>
    <x:row r="1">
      <x:c r="A1" s="6" t="str">
        <x:v>6_Benchmarks</x:v>
      </x:c>
      <x:c r="B1" s="6" t="str">
        <x:v>Giá trị / Công thức</x:v>
      </x:c>
      <x:c r="C1" s="6" t="str">
        <x:v>Ghi chú / bằng chứng</x:v>
      </x:c>
    </x:row>
    <x:row r="2">
      <x:c r="A2" t="str">
        <x:v>Ngày lập / nguồn tài liệu</x:v>
      </x:c>
      <x:c r="B2" s="8" t="str">
        <x:v>09/10/2026</x:v>
      </x:c>
      <x:c r="C2" s="10" t="str">
        <x:v>Giá Claude Haiku 4.5 và Intercom được kiểm tra trên website nhà cung cấp; dữ liệu kinh doanh vẫn là giả định</x:v>
      </x:c>
    </x:row>
    <x:row r="3">
      <x:c r="A3" t="str">
        <x:v>Anthropic Claude Haiku 4.5</x:v>
      </x:c>
      <x:c r="B3" s="8" t="str">
        <x:v>Input $1/1M; output $5/1M (kiểm tra 09/10/2026)</x:v>
      </x:c>
      <x:c r="C3" s="10" t="str">
        <x:v>https://platform.claude.com/docs/en/models/haiku-4-5/overview</x:v>
      </x:c>
    </x:row>
    <x:row r="4">
      <x:c r="A4" t="str">
        <x:v>Anthropic prompt cache</x:v>
      </x:c>
      <x:c r="B4" s="8" t="str">
        <x:v>5m cache write $1.25/1M; cache read $0.10/1M (09/10/2026)</x:v>
      </x:c>
      <x:c r="C4" s="10" t="str">
        <x:v>https://platform.claude.com/docs/en/models/haiku-4-5/overview</x:v>
      </x:c>
    </x:row>
    <x:row r="5">
      <x:c r="A5" t="str">
        <x:v>Intercom Fin</x:v>
      </x:c>
      <x:c r="B5" s="8" t="str">
        <x:v>$0.99/outcome (kiểm tra 09/10/2026)</x:v>
      </x:c>
      <x:c r="C5" s="10" t="str">
        <x:v>https://www.intercom.com/learning-center/intercom-pricing</x:v>
      </x:c>
    </x:row>
    <x:row r="6">
      <x:c r="A6" t="str">
        <x:v>Salesforce Agentforce</x:v>
      </x:c>
      <x:c r="B6" s="8" t="str">
        <x:v>$0.10/action theo đề</x:v>
      </x:c>
      <x:c r="C6" s="10" t="str">
        <x:v>https://www.salesforce.com/agentforce/pricing/</x:v>
      </x:c>
    </x:row>
    <x:row r="7">
      <x:c r="A7" t="str">
        <x:v>ICONIQ 2026</x:v>
      </x:c>
      <x:c r="B7" s="8" t="str">
        <x:v>Cost/opportunity $6,300 theo tài liệu lab</x:v>
      </x:c>
      <x:c r="C7" s="10" t="str">
        <x:v>https://www.iconiq.com/growth/reports/state-of-ai-2026</x:v>
      </x:c>
    </x:row>
    <x:row r="8">
      <x:c r="A8" t="str">
        <x:v>Bessemer 2024</x:v>
      </x:c>
      <x:c r="B8" s="8" t="str">
        <x:v>SMB CAC payback &lt;12 tháng</x:v>
      </x:c>
      <x:c r="C8" s="10" t="str">
        <x:v>https://www.bvp.com/atlas/state-of-the-cloud-2024</x:v>
      </x:c>
    </x:row>
    <x:row r="9">
      <x:c r="A9" t="str">
        <x:v>Tunguz 2016</x:v>
      </x:c>
      <x:c r="B9" s="8" t="str">
        <x:v>AE quota $500k/năm – benchmark ví dụ</x:v>
      </x:c>
      <x:c r="C9" s="10" t="str">
        <x:v>https://tomtunguz.com/smallest-acv-to-justify-inside-sales-team/</x:v>
      </x:c>
    </x:row>
    <x:row r="10">
      <x:c r="A10" t="str">
        <x:v>Tỷ giá</x:v>
      </x:c>
      <x:c r="B10" s="8" t="str">
        <x:v>Không áp dụng; USD xuyên suốt</x:v>
      </x:c>
      <x:c r="C10" s="10" t="str">
        <x:v>Tránh số quy đổi không có nguồn</x:v>
      </x:c>
    </x:row>
    <x:row r="11">
      <x:c r="A11" t="str">
        <x:v>Cần kiểm tra trước nộp</x:v>
      </x:c>
      <x:c r="B11" s="8" t="str">
        <x:v>Mở lại trang giá API và sửa B6/B7 ở tab 1 nếu khác</x:v>
      </x:c>
      <x:c r="C11" s="10" t="str">
        <x:v>Không được ghi ngày kiểm tra live khi chưa kiểm tra</x:v>
      </x:c>
    </x:row>
    <x:row r="12">
      <x:c r="A12" t="str">
        <x:v>Claude Haiku 5.5 (mới 07/10)</x:v>
      </x:c>
      <x:c r="B12" s="8" t="str">
        <x:v>Input từ $0.10/1M; output từ $0.50/1M; KHÔNG dùng trong base case</x:v>
      </x:c>
      <x:c r="C12" s="10" t="str">
        <x:v>https://platform.claude.com/docs/en/models/haiku-5-5/overview</x:v>
      </x:c>
    </x:row>
    <x:row r="13">
      <x:c r="A13" t="str">
        <x:v>Nguồn dữ liệu tài chính</x:v>
      </x:c>
      <x:c r="B13" s="8" t="str">
        <x:v>Volume, labor, salary, value saved, win rate, CAC pilot: GIẢ ĐỊNH</x:v>
      </x:c>
      <x:c r="C13" s="10" t="str">
        <x:v>Phải xác minh với khách sạn/pilot</x:v>
      </x:c>
    </x:row>
    <x:row r="14">
      <x:c r="A14" t="str">
        <x:v>Đối chiếu benchmark</x:v>
      </x:c>
      <x:c r="B14" s="8" t="str">
        <x:v>Fin và Agentforce chỉ so sánh cách thu tiền, KHÔNG cùng nghiệp vụ check-in</x:v>
      </x:c>
      <x:c r="C14" s="10" t="str">
        <x:v>https://www.intercom.com/pricing</x:v>
      </x:c>
    </x:row>
    <x:row r="15">
      <x:c r="A15" t="str">
        <x:v>Kiểm chứng live</x:v>
      </x:c>
      <x:c r="B15" s="8" t="str">
        <x:v>Chỉ giá Claude Haiku 4.5 và Intercom đã kiểm chứng 09/10/2026</x:v>
      </x:c>
      <x:c r="C15" s="10" t="str">
        <x:v>Các nguồn khác giữ nguyên mức trích giáo trình</x:v>
      </x:c>
    </x:row>
    <x:row r="16">
      <x:c r="B16" s="8"/>
      <x:c r="C16" s="10"/>
    </x:row>
    <x:row r="17">
      <x:c r="B17" s="8"/>
      <x:c r="C17" s="10"/>
    </x:row>
    <x:row r="18">
      <x:c r="B18" s="8"/>
      <x:c r="C18" s="10"/>
    </x:row>
    <x:row r="19">
      <x:c r="B19" s="8"/>
      <x:c r="C19" s="10"/>
    </x:row>
    <x:row r="20">
      <x:c r="B20" s="8"/>
      <x:c r="C20" s="10"/>
    </x:row>
    <x:row r="21">
      <x:c r="B21" s="8"/>
      <x:c r="C21" s="10"/>
    </x:row>
    <x:row r="22">
      <x:c r="B22" s="8"/>
      <x:c r="C22" s="10"/>
    </x:row>
    <x:row r="23">
      <x:c r="B23" s="8"/>
      <x:c r="C23" s="10"/>
    </x:row>
    <x:row r="24">
      <x:c r="B24" s="8"/>
      <x:c r="C24" s="10"/>
    </x:row>
    <x:row r="25">
      <x:c r="B25" s="8"/>
      <x:c r="C25" s="10"/>
    </x:row>
    <x:row r="26">
      <x:c r="B26" s="8"/>
      <x:c r="C26" s="10"/>
    </x:row>
    <x:row r="27">
      <x:c r="B27" s="8"/>
      <x:c r="C27" s="10"/>
    </x:row>
    <x:row r="28">
      <x:c r="B28" s="8"/>
      <x:c r="C28" s="10"/>
    </x:row>
    <x:row r="29">
      <x:c r="B29" s="8"/>
      <x:c r="C29" s="10"/>
    </x:row>
    <x:row r="30">
      <x:c r="B30" s="8"/>
      <x:c r="C30" s="10"/>
    </x:row>
    <x:row r="31">
      <x:c r="B31" s="8"/>
      <x:c r="C31" s="10"/>
    </x:row>
    <x:row r="32">
      <x:c r="B32" s="8"/>
      <x:c r="C32" s="10"/>
    </x:row>
    <x:row r="33">
      <x:c r="B33" s="8"/>
      <x:c r="C33" s="10"/>
    </x:row>
    <x:row r="34">
      <x:c r="B34" s="8"/>
      <x:c r="C34" s="10"/>
    </x:row>
    <x:row r="35">
      <x:c r="B35" s="8"/>
      <x:c r="C35" s="10"/>
    </x:row>
    <x:row r="36">
      <x:c r="B36" s="8"/>
      <x:c r="C36" s="10"/>
    </x:row>
    <x:row r="37">
      <x:c r="B37" s="8"/>
      <x:c r="C37" s="10"/>
    </x:row>
    <x:row r="38">
      <x:c r="B38" s="8"/>
      <x:c r="C38" s="10"/>
    </x:row>
    <x:row r="39">
      <x:c r="B39" s="8"/>
      <x:c r="C39" s="10"/>
    </x:row>
    <x:row r="40">
      <x:c r="B40" s="8"/>
      <x:c r="C40" s="10"/>
    </x:row>
    <x:row r="41">
      <x:c r="B41" s="8"/>
      <x:c r="C41" s="10"/>
    </x:row>
    <x:row r="42">
      <x:c r="B42" s="8"/>
      <x:c r="C42" s="10"/>
    </x:row>
    <x:row r="43">
      <x:c r="B43" s="8"/>
      <x:c r="C43" s="10"/>
    </x:row>
    <x:row r="44">
      <x:c r="B44" s="8"/>
      <x:c r="C44" s="10"/>
    </x:row>
    <x:row r="45">
      <x:c r="B45" s="8"/>
      <x:c r="C45" s="10"/>
    </x:row>
    <x:row r="46">
      <x:c r="B46" s="8"/>
      <x:c r="C46" s="10"/>
    </x:row>
    <x:row r="47">
      <x:c r="B47" s="8"/>
      <x:c r="C47" s="10"/>
    </x:row>
    <x:row r="48">
      <x:c r="B48" s="8"/>
      <x:c r="C48" s="10"/>
    </x:row>
    <x:row r="49">
      <x:c r="B49" s="8"/>
      <x:c r="C49" s="10"/>
    </x:row>
    <x:row r="50">
      <x:c r="B50" s="8"/>
      <x:c r="C50" s="10"/>
    </x:row>
    <x:row r="51">
      <x:c r="B51" s="8"/>
      <x:c r="C51" s="10"/>
    </x:row>
    <x:row r="52">
      <x:c r="B52" s="8"/>
      <x:c r="C52" s="10"/>
    </x:row>
    <x:row r="53">
      <x:c r="B53" s="8"/>
      <x:c r="C53" s="10"/>
    </x:row>
    <x:row r="54">
      <x:c r="B54" s="8"/>
      <x:c r="C54" s="10"/>
    </x:row>
    <x:row r="55">
      <x:c r="B55" s="8"/>
      <x:c r="C55" s="10"/>
    </x:row>
  </x:sheetData>
  <x:pageMargins left="0.7" right="0.7" top="0.75" bottom="0.75" header="0.3" footer="0.3"/>
</x:worksheet>
</file>