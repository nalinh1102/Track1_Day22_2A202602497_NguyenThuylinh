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210ae1ddc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README" sheetId="1" r:id="R64462176734f41c2"/>
    <x:sheet xmlns:r="http://schemas.openxmlformats.org/officeDocument/2006/relationships" name="1_Cost_Job" sheetId="2" r:id="R580005aff1124b21"/>
    <x:sheet xmlns:r="http://schemas.openxmlformats.org/officeDocument/2006/relationships" name="2_Pricing" sheetId="3" r:id="Rb4558b943d894bbc"/>
    <x:sheet xmlns:r="http://schemas.openxmlformats.org/officeDocument/2006/relationships" name="3_Value_Metric" sheetId="4" r:id="R1346d9bd982b4d45"/>
    <x:sheet xmlns:r="http://schemas.openxmlformats.org/officeDocument/2006/relationships" name="4_Channel_Fit" sheetId="5" r:id="R7fa9adcee08047e4"/>
    <x:sheet xmlns:r="http://schemas.openxmlformats.org/officeDocument/2006/relationships" name="5_90Day_Plan" sheetId="6" r:id="R6e757669a73f481e"/>
    <x:sheet xmlns:r="http://schemas.openxmlformats.org/officeDocument/2006/relationships" name="6_Benchmarks" sheetId="7" r:id="R5944b284742f4e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%"/>
    <x:numFmt numFmtId="201" formatCode="0.0000"/>
    <x:numFmt numFmtId="202" formatCode="$0.0000"/>
    <x:numFmt numFmtId="203" formatCode="0"/>
    <x:numFmt numFmtId="204" formatCode="0.00&quot;x&quot;"/>
    <x:numFmt numFmtId="205" formatCode="$0.00"/>
    <x:numFmt numFmtId="206" formatCode="0.00"/>
    <x:numFmt numFmtId="207" formatCode="$#,##0.00"/>
  </x:numFmts>
  <x:fonts count="6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1"/>
      <x:color rgb="FF111111"/>
      <x:name val="Carlito"/>
    </x:font>
    <x:font>
      <x:sz val="11"/>
      <x:color rgb="FF0000FF"/>
      <x:name val="Carlito"/>
    </x:font>
    <x:font>
      <x:sz val="11"/>
      <x:color rgb="FF00804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FFF3CF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200" fontId="0" fillId="3" borderId="0" xfId="0" applyNumberFormat="1" applyFont="1" applyFill="1" applyBorder="1"/>
    <x:xf numFmtId="200" fontId="4" fillId="3" borderId="0" xfId="0" applyNumberFormat="1" applyFont="1" applyFill="1" applyBorder="1"/>
    <x:xf numFmtId="201" fontId="0" fillId="3" borderId="0" xfId="0" applyNumberFormat="1" applyFont="1" applyFill="1" applyBorder="1"/>
    <x:xf numFmtId="201" fontId="4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200" fontId="4" fillId="3" borderId="0" xfId="0" applyNumberFormat="1" applyFont="1" applyFill="1" applyBorder="1" applyAlignment="1">
      <x:alignment wrapText="1"/>
    </x:xf>
    <x:xf numFmtId="201" fontId="4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201" fontId="4" fillId="3" borderId="0" xfId="0" applyNumberFormat="1" applyFont="1" applyFill="1" applyBorder="1" applyAlignment="1">
      <x:alignment vertical="top" wrapText="1"/>
    </x:xf>
    <x:xf numFmtId="202" fontId="3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top" wrapText="1"/>
    </x:xf>
    <x:xf numFmtId="202" fontId="5" fillId="3" borderId="0" xfId="0" applyNumberFormat="1" applyFont="1" applyFill="1" applyBorder="1" applyAlignment="1">
      <x:alignment vertical="top" wrapText="1"/>
    </x:xf>
    <x:xf numFmtId="202" fontId="4" fillId="3" borderId="0" xfId="0" applyNumberFormat="1" applyFont="1" applyFill="1" applyBorder="1" applyAlignment="1">
      <x:alignment vertical="top" wrapText="1"/>
    </x:xf>
    <x:xf numFmtId="203" fontId="3" fillId="3" borderId="0" xfId="0" applyNumberFormat="1" applyFont="1" applyFill="1" applyBorder="1" applyAlignment="1">
      <x:alignment vertical="top" wrapText="1"/>
    </x:xf>
    <x:xf numFmtId="203" fontId="4" fillId="3" borderId="0" xfId="0" applyNumberFormat="1" applyFont="1" applyFill="1" applyBorder="1" applyAlignment="1">
      <x:alignment vertical="top" wrapText="1"/>
    </x:xf>
    <x:xf numFmtId="204" fontId="4" fillId="3" borderId="0" xfId="0" applyNumberFormat="1" applyFont="1" applyFill="1" applyBorder="1" applyAlignment="1">
      <x:alignment vertical="top" wrapText="1"/>
    </x:xf>
    <x:xf numFmtId="205" fontId="5" fillId="3" borderId="0" xfId="0" applyNumberFormat="1" applyFont="1" applyFill="1" applyBorder="1" applyAlignment="1">
      <x:alignment vertical="top" wrapText="1"/>
    </x:xf>
    <x:xf numFmtId="205" fontId="3" fillId="3" borderId="0" xfId="0" applyNumberFormat="1" applyFont="1" applyFill="1" applyBorder="1" applyAlignment="1">
      <x:alignment vertical="top" wrapText="1"/>
    </x:xf>
    <x:xf numFmtId="205" fontId="4" fillId="3" borderId="0" xfId="0" applyNumberFormat="1" applyFont="1" applyFill="1" applyBorder="1" applyAlignment="1">
      <x:alignment vertical="top" wrapText="1"/>
    </x:xf>
    <x:xf numFmtId="206" fontId="3" fillId="3" borderId="0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 wrapText="1"/>
    </x:xf>
    <x:xf numFmtId="200" fontId="5" fillId="3" borderId="0" xfId="0" applyNumberFormat="1" applyFont="1" applyFill="1" applyBorder="1" applyAlignment="1">
      <x:alignment vertical="top" wrapText="1"/>
    </x:xf>
    <x:xf numFmtId="207" fontId="5" fillId="3" borderId="0" xfId="0" applyNumberFormat="1" applyFont="1" applyFill="1" applyBorder="1" applyAlignment="1">
      <x:alignment vertical="top" wrapText="1"/>
    </x:xf>
    <x:xf numFmtId="207" fontId="3" fillId="3" borderId="0" xfId="0" applyNumberFormat="1" applyFont="1" applyFill="1" applyBorder="1" applyAlignment="1">
      <x:alignment vertical="top" wrapText="1"/>
    </x:xf>
    <x:xf numFmtId="207" fontId="4" fillId="3" borderId="0" xfId="0" applyNumberFormat="1" applyFont="1" applyFill="1" applyBorder="1" applyAlignment="1">
      <x:alignment vertical="top" wrapText="1"/>
    </x:xf>
    <x:xf numFmtId="206" fontId="4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5eb54231344b0" /><Relationship Type="http://schemas.openxmlformats.org/officeDocument/2006/relationships/theme" Target="/xl/theme/theme1.xml" Id="R665197767d014cd6" /><Relationship Type="http://schemas.openxmlformats.org/officeDocument/2006/relationships/sharedStrings" Target="/xl/sharedStrings.xml" Id="R9c4d6956e06f4364" /><Relationship Type="http://schemas.openxmlformats.org/officeDocument/2006/relationships/worksheet" Target="/xl/worksheets/sheet1.xml" Id="R64462176734f41c2" /><Relationship Type="http://schemas.openxmlformats.org/officeDocument/2006/relationships/worksheet" Target="/xl/worksheets/sheet2.xml" Id="R580005aff1124b21" /><Relationship Type="http://schemas.openxmlformats.org/officeDocument/2006/relationships/worksheet" Target="/xl/worksheets/sheet3.xml" Id="Rb4558b943d894bbc" /><Relationship Type="http://schemas.openxmlformats.org/officeDocument/2006/relationships/worksheet" Target="/xl/worksheets/sheet4.xml" Id="R1346d9bd982b4d45" /><Relationship Type="http://schemas.openxmlformats.org/officeDocument/2006/relationships/worksheet" Target="/xl/worksheets/sheet5.xml" Id="R7fa9adcee08047e4" /><Relationship Type="http://schemas.openxmlformats.org/officeDocument/2006/relationships/worksheet" Target="/xl/worksheets/sheet6.xml" Id="R6e757669a73f481e" /><Relationship Type="http://schemas.openxmlformats.org/officeDocument/2006/relationships/worksheet" Target="/xl/worksheets/sheet7.xml" Id="R5944b284742f4e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72" hidden="0" customWidth="1"/>
    <x:col min="3" max="3" width="85" hidden="0" customWidth="1"/>
  </x:cols>
  <x:sheetData>
    <x:row r="1">
      <x:c r="A1" s="14" t="str">
        <x:v>0_README</x:v>
      </x:c>
      <x:c r="B1" s="14" t="str">
        <x:v>Giá trị / Công thức</x:v>
      </x:c>
      <x:c r="C1" s="14" t="str">
        <x:v>Ghi chú / bằng chứng</x:v>
      </x:c>
    </x:row>
    <x:row r="2" ht="58" customHeight="1">
      <x:c r="A2" s="15" t="str">
        <x:v>Sản phẩm</x:v>
      </x:c>
      <x:c r="B2" s="16" t="str">
        <x:v>P-028 - Kiosk hướng dẫn check-in</x:v>
      </x:c>
      <x:c r="C2" s="15" t="str">
        <x:v>Phạm vi: hướng dẫn và tra cứu booking; không tự cấp phòng, xác minh giấy tờ pháp lý hoặc thay toàn bộ lễ tân.</x:v>
      </x:c>
    </x:row>
    <x:row r="3" ht="58" customHeight="1">
      <x:c r="A3" s="15" t="str">
        <x:v>Ngày lập mô hình</x:v>
      </x:c>
      <x:c r="B3" s="16" t="str">
        <x:v>09/10/2026</x:v>
      </x:c>
      <x:c r="C3" s="15" t="str">
        <x:v>Ngày lập không đồng nghĩa ngày kiểm chứng API</x:v>
      </x:c>
    </x:row>
    <x:row r="4" ht="58" customHeight="1">
      <x:c r="A4" s="15" t="str">
        <x:v>Người thực hiện</x:v>
      </x:c>
      <x:c r="B4" s="16" t="str">
        <x:v>Nguyễn Thùy Linh</x:v>
      </x:c>
      <x:c r="C4" s="15" t="str">
        <x:v>Track 1 – Day 22</x:v>
      </x:c>
    </x:row>
    <x:row r="5" ht="58" customHeight="1">
      <x:c r="A5" s="15" t="str">
        <x:v>Trạng thái dữ liệu</x:v>
      </x:c>
      <x:c r="B5" s="16" t="str">
        <x:v>SCENARIO / CHƯA PHẢI KẾT QUẢ PILOT</x:v>
      </x:c>
      <x:c r="C5" s="15" t="str">
        <x:v>Không trình bày giả định như dữ liệu đã đo</x:v>
      </x:c>
    </x:row>
    <x:row r="6" ht="58" customHeight="1">
      <x:c r="A6" s="15" t="str">
        <x:v>Tiền tệ</x:v>
      </x:c>
      <x:c r="B6" s="16" t="str">
        <x:v>USD</x:v>
      </x:c>
      <x:c r="C6" s="15" t="str">
        <x:v>Không quy đổi VND để tránh dùng tỷ giá chưa xác thực</x:v>
      </x:c>
    </x:row>
    <x:row r="7" ht="58" customHeight="1">
      <x:c r="A7" s="15" t="str">
        <x:v>Cách dùng</x:v>
      </x:c>
      <x:c r="B7" s="16" t="str">
        <x:v>Sửa ô đầu vào ở các tab 1–5</x:v>
      </x:c>
      <x:c r="C7" s="15" t="str">
        <x:v>Các ô công thức bắt đầu bằng dấu =; không thay công thức</x:v>
      </x:c>
    </x:row>
    <x:row r="8" ht="58" customHeight="1">
      <x:c r="A8" s="15" t="str">
        <x:v>Cấu trúc</x:v>
      </x:c>
      <x:c r="B8" s="16" t="str">
        <x:v>5 tab nghiệp vụ + README + Benchmarks</x:v>
      </x:c>
      <x:c r="C8" s="15" t="str">
        <x:v>Giữ tab nguồn vì checklist đề yêu cầu 6_Benchmarks. Đơn vị tính: một cơ sở/tháng.</x:v>
      </x:c>
    </x:row>
    <x:row r="9" ht="58" customHeight="1">
      <x:c r="A9" s="15" t="str">
        <x:v>Quy tắc chi phí</x:v>
      </x:c>
      <x:c r="B9" s="16" t="str">
        <x:v>Cost/Job và GM_lab bao gồm đủ 5 khoản</x:v>
      </x:c>
      <x:c r="C9" s="15" t="str">
        <x:v>GM_lab là biên sau chi phí phân bổ theo đề; GM_COGS báo cáo riêng, không đánh đồng với GM kế toán.</x:v>
      </x:c>
    </x:row>
    <x:row r="10" ht="58" customHeight="1">
      <x:c r="A10" s="15" t="str">
        <x:v>Kịch bản</x:v>
      </x:c>
      <x:c r="B10" s="16" t="str">
        <x:v>B: nhà cung cấp chịu escalation</x:v>
      </x:c>
      <x:c r="C10" s="15" t="str">
        <x:v>80% containment là mục tiêu giả định, chưa có eval. Không khẳng định mô hình đạt trong vận hành thực tế.</x:v>
      </x:c>
    </x:row>
    <x:row r="11" ht="58" customHeight="1">
      <x:c r="A11" s="15" t="str">
        <x:v>Cách đọc</x:v>
      </x:c>
      <x:c r="B11" s="16" t="str">
        <x:v>Ô số xanh: đầu vào; đen/xanh lá: công thức</x:v>
      </x:c>
      <x:c r="C11" s="15" t="str">
        <x:v>Nguồn giá được kiểm tra 09/10/2026; đầu vào vận hành chưa đo phải xác minh bằng pilot.</x:v>
      </x:c>
    </x:row>
    <x:row r="12" ht="58" customHeight="1">
      <x:c r="A12" s="15" t="str">
        <x:v>Phạm vi kiểm tra</x:v>
      </x:c>
      <x:c r="B12" s="16" t="str">
        <x:v>Đã rà công thức và đối chiếu PDF</x:v>
      </x:c>
      <x:c r="C12" s="15" t="str">
        <x:v>Chưa có khách thật, eval thật hoặc test người lạ thật; không trình bày những việc này là đã hoàn thành.</x:v>
      </x:c>
    </x:row>
    <x:row r="13" ht="58" customHeight="1">
      <x:c r="A13" s="15"/>
      <x:c r="B13" s="16"/>
      <x:c r="C13" s="15"/>
    </x:row>
    <x:row r="14" ht="58" customHeight="1">
      <x:c r="A14" s="15"/>
      <x:c r="B14" s="16"/>
      <x:c r="C14" s="15"/>
    </x:row>
    <x:row r="15" ht="58" customHeight="1">
      <x:c r="A15" s="15"/>
      <x:c r="B15" s="16"/>
      <x:c r="C15" s="15"/>
    </x:row>
    <x:row r="16" ht="58" customHeight="1">
      <x:c r="A16" s="15"/>
      <x:c r="B16" s="16"/>
      <x:c r="C16" s="15"/>
    </x:row>
    <x:row r="17" ht="58" customHeight="1">
      <x:c r="A17" s="15"/>
      <x:c r="B17" s="16"/>
      <x:c r="C17" s="15"/>
    </x:row>
    <x:row r="18" ht="58" customHeight="1">
      <x:c r="A18" s="15"/>
      <x:c r="B18" s="16"/>
      <x:c r="C18" s="15"/>
    </x:row>
    <x:row r="19" ht="58" customHeight="1">
      <x:c r="A19" s="15"/>
      <x:c r="B19" s="16"/>
      <x:c r="C19" s="15"/>
    </x:row>
    <x:row r="20" ht="58" customHeight="1">
      <x:c r="A20" s="15"/>
      <x:c r="B20" s="16"/>
      <x:c r="C20" s="15"/>
    </x:row>
    <x:row r="21" ht="58" customHeight="1">
      <x:c r="A21" s="15"/>
      <x:c r="B21" s="16"/>
      <x:c r="C21" s="15"/>
    </x:row>
    <x:row r="22" ht="58" customHeight="1">
      <x:c r="A22" s="15"/>
      <x:c r="B22" s="16"/>
      <x:c r="C22" s="15"/>
    </x:row>
    <x:row r="23" ht="58" customHeight="1">
      <x:c r="A23" s="15"/>
      <x:c r="B23" s="16"/>
      <x:c r="C23" s="15"/>
    </x:row>
    <x:row r="24" ht="58" customHeight="1">
      <x:c r="A24" s="15"/>
      <x:c r="B24" s="16"/>
      <x:c r="C24" s="15"/>
    </x:row>
    <x:row r="25" ht="58" customHeight="1">
      <x:c r="A25" s="15"/>
      <x:c r="B25" s="16"/>
      <x:c r="C25" s="15"/>
    </x:row>
    <x:row r="26" ht="58" customHeight="1">
      <x:c r="A26" s="15"/>
      <x:c r="B26" s="16"/>
      <x:c r="C26" s="15"/>
    </x:row>
    <x:row r="27" ht="58" customHeight="1">
      <x:c r="A27" s="15"/>
      <x:c r="B27" s="16"/>
      <x:c r="C27" s="15"/>
    </x:row>
    <x:row r="28" ht="58" customHeight="1">
      <x:c r="A28" s="15"/>
      <x:c r="B28" s="16"/>
      <x:c r="C28" s="15"/>
    </x:row>
    <x:row r="29" ht="58" customHeight="1">
      <x:c r="A29" s="15"/>
      <x:c r="B29" s="16"/>
      <x:c r="C29" s="15"/>
    </x:row>
    <x:row r="30" ht="58" customHeight="1">
      <x:c r="A30" s="15"/>
      <x:c r="B30" s="16"/>
      <x:c r="C30" s="15"/>
    </x:row>
    <x:row r="31" ht="58" customHeight="1">
      <x:c r="A31" s="15"/>
      <x:c r="B31" s="16"/>
      <x:c r="C31" s="15"/>
    </x:row>
    <x:row r="32" ht="58" customHeight="1">
      <x:c r="A32" s="15"/>
      <x:c r="B32" s="16"/>
      <x:c r="C32" s="15"/>
    </x:row>
    <x:row r="33" ht="58" customHeight="1">
      <x:c r="A33" s="15"/>
      <x:c r="B33" s="16"/>
      <x:c r="C33" s="15"/>
    </x:row>
    <x:row r="34" ht="58" customHeight="1">
      <x:c r="A34" s="15"/>
      <x:c r="B34" s="16"/>
      <x:c r="C34" s="15"/>
    </x:row>
    <x:row r="35" ht="58" customHeight="1">
      <x:c r="A35" s="15"/>
      <x:c r="B35" s="16"/>
      <x:c r="C35" s="15"/>
    </x:row>
    <x:row r="36" ht="58" customHeight="1">
      <x:c r="A36" s="15"/>
      <x:c r="B36" s="16"/>
      <x:c r="C36" s="15"/>
    </x:row>
    <x:row r="37" ht="58" customHeight="1">
      <x:c r="A37" s="15"/>
      <x:c r="B37" s="16"/>
      <x:c r="C37" s="15"/>
    </x:row>
    <x:row r="38" ht="58" customHeight="1">
      <x:c r="A38" s="15"/>
      <x:c r="B38" s="16"/>
      <x:c r="C38" s="15"/>
    </x:row>
    <x:row r="39" ht="58" customHeight="1">
      <x:c r="A39" s="15"/>
      <x:c r="B39" s="16"/>
      <x:c r="C39" s="15"/>
    </x:row>
    <x:row r="40" ht="58" customHeight="1">
      <x:c r="A40" s="15"/>
      <x:c r="B40" s="16"/>
      <x:c r="C40" s="15"/>
    </x:row>
    <x:row r="41" ht="58" customHeight="1">
      <x:c r="A41" s="15"/>
      <x:c r="B41" s="16"/>
      <x:c r="C41" s="15"/>
    </x:row>
    <x:row r="42" ht="58" customHeight="1">
      <x:c r="A42" s="15"/>
      <x:c r="B42" s="16"/>
      <x:c r="C42" s="15"/>
    </x:row>
    <x:row r="43" ht="58" customHeight="1">
      <x:c r="A43" s="15"/>
      <x:c r="B43" s="16"/>
      <x:c r="C43" s="15"/>
    </x:row>
    <x:row r="44" ht="58" customHeight="1">
      <x:c r="A44" s="15"/>
      <x:c r="B44" s="16"/>
      <x:c r="C44" s="15"/>
    </x:row>
    <x:row r="45" ht="58" customHeight="1">
      <x:c r="A45" s="15"/>
      <x:c r="B45" s="16"/>
      <x:c r="C45" s="15"/>
    </x:row>
    <x:row r="46" ht="58" customHeight="1">
      <x:c r="A46" s="15"/>
      <x:c r="B46" s="16"/>
      <x:c r="C46" s="15"/>
    </x:row>
    <x:row r="47" ht="58" customHeight="1">
      <x:c r="A47" s="15"/>
      <x:c r="B47" s="16"/>
      <x:c r="C47" s="15"/>
    </x:row>
    <x:row r="48" ht="58" customHeight="1">
      <x:c r="A48" s="15"/>
      <x:c r="B48" s="16"/>
      <x:c r="C48" s="15"/>
    </x:row>
    <x:row r="49" ht="58" customHeight="1">
      <x:c r="A49" s="15"/>
      <x:c r="B49" s="16"/>
      <x:c r="C49" s="15"/>
    </x:row>
    <x:row r="50" ht="58" customHeight="1">
      <x:c r="A50" s="15"/>
      <x:c r="B50" s="16"/>
      <x:c r="C50" s="15"/>
    </x:row>
    <x:row r="51" ht="58" customHeight="1">
      <x:c r="A51" s="15"/>
      <x:c r="B51" s="16"/>
      <x:c r="C51" s="15"/>
    </x:row>
    <x:row r="52" ht="58" customHeight="1">
      <x:c r="A52" s="15"/>
      <x:c r="B52" s="16"/>
      <x:c r="C52" s="15"/>
    </x:row>
    <x:row r="53" ht="58" customHeight="1">
      <x:c r="A53" s="15"/>
      <x:c r="B53" s="16"/>
      <x:c r="C53" s="15"/>
    </x:row>
    <x:row r="54" ht="58" customHeight="1">
      <x:c r="A54" s="15"/>
      <x:c r="B54" s="16"/>
      <x:c r="C54" s="15"/>
    </x:row>
    <x:row r="55" ht="58" customHeight="1">
      <x:c r="A55" s="15"/>
      <x:c r="B55" s="16"/>
      <x:c r="C55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72" hidden="0" customWidth="1"/>
    <x:col min="3" max="3" width="85" hidden="0" customWidth="1"/>
  </x:cols>
  <x:sheetData>
    <x:row r="1">
      <x:c r="A1" s="14" t="str">
        <x:v>1_Cost_Job</x:v>
      </x:c>
      <x:c r="B1" s="14" t="str">
        <x:v>Giá trị / Công thức</x:v>
      </x:c>
      <x:c r="C1" s="14" t="str">
        <x:v>Ghi chú / bằng chứng</x:v>
      </x:c>
    </x:row>
    <x:row r="2" ht="58" customHeight="1">
      <x:c r="A2" s="15" t="str">
        <x:v>S1 | Job</x:v>
      </x:c>
      <x:c r="B2" s="16" t="str">
        <x:v>1 phiên hướng dẫn check-in hoàn tất trên kiosk</x:v>
      </x:c>
      <x:c r="C2" s="15" t="str">
        <x:v>Hoàn tất dịch vụ khi đã tra booking hợp lệ và hiển thị đủ hướng dẫn, có session_id; không đồng nghĩa khách đã nhận phòng.</x:v>
      </x:c>
    </x:row>
    <x:row r="3" ht="58" customHeight="1">
      <x:c r="A3" s="15" t="str">
        <x:v>S2 | Jobs attempted/tháng</x:v>
      </x:c>
      <x:c r="B3" s="34" t="n">
        <x:f>B34*B35*B36/B37</x:f>
        <x:v>960</x:v>
      </x:c>
      <x:c r="C3" s="15" t="str">
        <x:v>Giả định một booking/phiên; 80 phòng × 80% công suất × 30 ngày ÷ 2 đêm = 960 phiên; kiểm chứng bằng PMS.</x:v>
      </x:c>
    </x:row>
    <x:row r="4" ht="58" customHeight="1">
      <x:c r="A4" s="15" t="str">
        <x:v>S2 | Containment</x:v>
      </x:c>
      <x:c r="B4" s="26" t="n">
        <x:v>0.8</x:v>
      </x:c>
      <x:c r="C4" s="15" t="str">
        <x:v>Mục tiêu thiết kế, chưa đo. Eval: số phiên hoàn tất không can thiệp / toàn bộ phiên hợp lệ; lỗi không được bỏ khỏi mẫu.</x:v>
      </x:c>
    </x:row>
    <x:row r="5" ht="58" customHeight="1">
      <x:c r="A5" s="15" t="str">
        <x:v>S2 | Jobs completed</x:v>
      </x:c>
      <x:c r="B5" s="34" t="n">
        <x:f>B3*B4</x:f>
        <x:v>768</x:v>
      </x:c>
      <x:c r="C5" s="15" t="str">
        <x:v>Chỉ job AI hoàn thành; escalation không tính completed</x:v>
      </x:c>
    </x:row>
    <x:row r="6" ht="58" customHeight="1">
      <x:c r="A6" s="15" t="str">
        <x:v>S3 | Input USD/1M tokens</x:v>
      </x:c>
      <x:c r="B6" s="33" t="n">
        <x:v>1</x:v>
      </x:c>
      <x:c r="C6" s="15" t="str">
        <x:v>Claude Haiku 4.5; kiểm tra 09/10/2026, nguồn tại 6_Benchmarks!C3.</x:v>
      </x:c>
    </x:row>
    <x:row r="7" ht="58" customHeight="1">
      <x:c r="A7" s="15" t="str">
        <x:v>S3 | Output USD/1M tokens</x:v>
      </x:c>
      <x:c r="B7" s="33" t="n">
        <x:v>5</x:v>
      </x:c>
      <x:c r="C7" s="15" t="str">
        <x:v>Giá list, kiểm tra 09/10/2026; không dùng giá khuyến mại.</x:v>
      </x:c>
    </x:row>
    <x:row r="8" ht="58" customHeight="1">
      <x:c r="A8" s="15" t="str">
        <x:v>S3 | Cache write multiplier</x:v>
      </x:c>
      <x:c r="B8" s="36" t="n">
        <x:v>1.25</x:v>
      </x:c>
      <x:c r="C8" s="15" t="str">
        <x:v>5 phút; giả định phiên 4 lượt trong TTL; cache miss dùng kịch bản no-cache.</x:v>
      </x:c>
    </x:row>
    <x:row r="9" ht="58" customHeight="1">
      <x:c r="A9" s="15" t="str">
        <x:v>S3 | Cache read multiplier</x:v>
      </x:c>
      <x:c r="B9" s="36" t="n">
        <x:v>0.1</x:v>
      </x:c>
      <x:c r="C9" s="15" t="str">
        <x:v>Giá list; prompt chung ổn định, prefix đủ dài; cần kiểm tra cache usage trong log.</x:v>
      </x:c>
    </x:row>
    <x:row r="10" ht="58" customHeight="1">
      <x:c r="A10" s="15" t="str">
        <x:v>S3 | Lượt hội thoại/job</x:v>
      </x:c>
      <x:c r="B10" s="35" t="n">
        <x:v>4</x:v>
      </x:c>
      <x:c r="C10" s="15" t="str">
        <x:v>Giả định</x:v>
      </x:c>
    </x:row>
    <x:row r="11" ht="58" customHeight="1">
      <x:c r="A11" s="15" t="str">
        <x:v>S3 | Cached tokens/lượt</x:v>
      </x:c>
      <x:c r="B11" s="35" t="n">
        <x:v>4096</x:v>
      </x:c>
      <x:c r="C11" s="15" t="str">
        <x:v>Giả định prefix cố định 4.096 tokens cho Haiku 4.5; cần log cache hit và phiên trong TTL 5 phút.</x:v>
      </x:c>
    </x:row>
    <x:row r="12" ht="58" customHeight="1">
      <x:c r="A12" s="15" t="str">
        <x:v>S3 | Fresh input tokens/lượt</x:v>
      </x:c>
      <x:c r="B12" s="35" t="n">
        <x:v>800</x:v>
      </x:c>
      <x:c r="C12" s="15" t="str">
        <x:v>Giả định</x:v>
      </x:c>
    </x:row>
    <x:row r="13" ht="58" customHeight="1">
      <x:c r="A13" s="15" t="str">
        <x:v>S3 | Output tokens/lượt</x:v>
      </x:c>
      <x:c r="B13" s="35" t="n">
        <x:v>200</x:v>
      </x:c>
      <x:c r="C13" s="15" t="str">
        <x:v>Giả định</x:v>
      </x:c>
    </x:row>
    <x:row r="14" ht="58" customHeight="1">
      <x:c r="A14" s="15" t="str">
        <x:v>S3 | API USD/job</x:v>
      </x:c>
      <x:c r="B14" s="28" t="n">
        <x:f>((B11*B6*B8)+(B10-1)*B11*B6*B9+B10*B12*B6+B10*B13*B7)/1000000</x:f>
        <x:v>0.0135488</x:v>
      </x:c>
      <x:c r="C14" s="15" t="str">
        <x:v>1 cache write + 3 cache read + fresh + output</x:v>
      </x:c>
    </x:row>
    <x:row r="15" ht="58" customHeight="1">
      <x:c r="A15" s="15" t="str">
        <x:v>S4 | Speech USD/job</x:v>
      </x:c>
      <x:c r="B15" s="33" t="n">
        <x:v>0</x:v>
      </x:c>
      <x:c r="C15" s="15" t="str">
        <x:v>Không dùng thoại trong kịch bản text-only; lý do cho giá trị 0</x:v>
      </x:c>
    </x:row>
    <x:row r="16" ht="58" customHeight="1">
      <x:c r="A16" s="15" t="str">
        <x:v>S5 | Infra USD/attempt</x:v>
      </x:c>
      <x:c r="B16" s="33" t="n">
        <x:v>0.015</x:v>
      </x:c>
      <x:c r="C16" s="15" t="str">
        <x:v>Giả định phân bổ hosting, log, lưu trữ, embedding</x:v>
      </x:c>
    </x:row>
    <x:row r="17" ht="58" customHeight="1">
      <x:c r="A17" s="15" t="str">
        <x:v>S6 | Retry rate</x:v>
      </x:c>
      <x:c r="B17" s="26" t="n">
        <x:v>0.08</x:v>
      </x:c>
      <x:c r="C17" s="15" t="str">
        <x:v>Giả định 8%, chưa có log production</x:v>
      </x:c>
    </x:row>
    <x:row r="18" ht="58" customHeight="1">
      <x:c r="A18" s="15" t="str">
        <x:v>S7 | QA review rate</x:v>
      </x:c>
      <x:c r="B18" s="26" t="n">
        <x:v>0.1</x:v>
      </x:c>
      <x:c r="C18" s="15" t="str">
        <x:v>Giả định 10% attempts</x:v>
      </x:c>
    </x:row>
    <x:row r="19" ht="58" customHeight="1">
      <x:c r="A19" s="15" t="str">
        <x:v>S7 | QA phút/ca</x:v>
      </x:c>
      <x:c r="B19" s="35" t="n">
        <x:v>3</x:v>
      </x:c>
      <x:c r="C19" s="15" t="str">
        <x:v>Giả định</x:v>
      </x:c>
    </x:row>
    <x:row r="20" ht="58" customHeight="1">
      <x:c r="A20" s="15" t="str">
        <x:v>S7 | Escalation phút/ca</x:v>
      </x:c>
      <x:c r="B20" s="35" t="n">
        <x:v>8</x:v>
      </x:c>
      <x:c r="C20" s="15" t="str">
        <x:v>Giả định</x:v>
      </x:c>
    </x:row>
    <x:row r="21" ht="58" customHeight="1">
      <x:c r="A21" s="15" t="str">
        <x:v>S7 | HITL USD/giờ</x:v>
      </x:c>
      <x:c r="B21" s="33" t="n">
        <x:v>6</x:v>
      </x:c>
      <x:c r="C21" s="15" t="str">
        <x:v>Giả định đơn giá nhà cung cấp, khác lương lễ tân khách; cần báo giá giờ công đầy đủ.</x:v>
      </x:c>
    </x:row>
    <x:row r="22" ht="58" customHeight="1">
      <x:c r="A22" s="15" t="str">
        <x:v>S7 | Biến thể HITL</x:v>
      </x:c>
      <x:c r="B22" s="16" t="str">
        <x:v>B</x:v>
      </x:c>
      <x:c r="C22" s="15" t="str">
        <x:v>Nhà cung cấp gánh escalation; cần xác nhận trách nhiệm hợp đồng</x:v>
      </x:c>
    </x:row>
    <x:row r="23" ht="58" customHeight="1">
      <x:c r="A23" s="15" t="str">
        <x:v>S8 | Overhead USD/tháng</x:v>
      </x:c>
      <x:c r="B23" s="28" t="n">
        <x:f>SUM(B39:B42)</x:f>
        <x:v>219</x:v>
      </x:c>
      <x:c r="C23" s="15" t="str">
        <x:v>Phân bổ thiết bị, hỗ trợ, triển khai và quản trị; gồm đủ khoản theo yêu cầu lab, không gồm CAC.</x:v>
      </x:c>
    </x:row>
    <x:row r="24" ht="58" customHeight="1">
      <x:c r="A24" s="15" t="str">
        <x:v>API USD/tháng</x:v>
      </x:c>
      <x:c r="B24" s="28" t="n">
        <x:f>B3*(B14+B15)</x:f>
        <x:v>13.006848</x:v>
      </x:c>
      <x:c r="C24" s="15" t="str">
        <x:v>API + speech trước retry</x:v>
      </x:c>
    </x:row>
    <x:row r="25" ht="58" customHeight="1">
      <x:c r="A25" s="15" t="str">
        <x:v>Retry USD/tháng</x:v>
      </x:c>
      <x:c r="B25" s="28" t="n">
        <x:f>B24*B17</x:f>
        <x:v>1.04054784</x:v>
      </x:c>
      <x:c r="C25" s="15" t="str">
        <x:v>Retry áp dụng API</x:v>
      </x:c>
    </x:row>
    <x:row r="26" ht="58" customHeight="1">
      <x:c r="A26" s="15" t="str">
        <x:v>Infra USD/tháng</x:v>
      </x:c>
      <x:c r="B26" s="28" t="n">
        <x:f>B3*B16</x:f>
        <x:v>14.399999999999999</x:v>
      </x:c>
      <x:c r="C26" s="15" t="str">
        <x:v>Cho toàn bộ attempts</x:v>
      </x:c>
    </x:row>
    <x:row r="27" ht="58" customHeight="1">
      <x:c r="A27" s="15" t="str">
        <x:v>QA USD/tháng</x:v>
      </x:c>
      <x:c r="B27" s="28" t="n">
        <x:f>B3*B18*B19/60*B21</x:f>
        <x:v>28.799999999999997</x:v>
      </x:c>
      <x:c r="C27" s="15" t="str">
        <x:v>Chi phí QA nội bộ</x:v>
      </x:c>
    </x:row>
    <x:row r="28" ht="58" customHeight="1">
      <x:c r="A28" s="15" t="str">
        <x:v>Escalation USD/tháng</x:v>
      </x:c>
      <x:c r="B28" s="28" t="n">
        <x:f>IF(B22="B",B3*(1-B4)*B20/60*B21,0)</x:f>
        <x:v>153.59999999999994</x:v>
      </x:c>
      <x:c r="C28" s="15" t="str">
        <x:v>B: bên bán chịu; A: khách tự xử lý, không vào COGS bên bán. A không được cam kết giao kết quả thay khách.</x:v>
      </x:c>
    </x:row>
    <x:row r="29" ht="58" customHeight="1">
      <x:c r="A29" s="15" t="str">
        <x:v>COGS USD/tháng</x:v>
      </x:c>
      <x:c r="B29" s="28" t="n">
        <x:f>SUM(B24:B28)</x:f>
        <x:v>210.84739583999993</x:v>
      </x:c>
      <x:c r="C29" s="15" t="str">
        <x:v>API, retry, infra, QA, escalation</x:v>
      </x:c>
    </x:row>
    <x:row r="30" ht="58" customHeight="1">
      <x:c r="A30" s="15" t="str">
        <x:v>Cost/Job đủ 5 khoản</x:v>
      </x:c>
      <x:c r="B30" s="28" t="n">
        <x:f>(B29+B23)/B5</x:f>
        <x:v>0.5596971299999999</x:v>
      </x:c>
      <x:c r="C30" s="15" t="str">
        <x:v>API + Infra + HITL + Retry + Overhead, chia job hoàn thành; chỉ tiêu chính theo đề.</x:v>
      </x:c>
    </x:row>
    <x:row r="31" ht="58" customHeight="1">
      <x:c r="A31" s="15" t="str">
        <x:v>Cost/Job COGS</x:v>
      </x:c>
      <x:c r="B31" s="28" t="n">
        <x:f>B29/B5</x:f>
        <x:v>0.27454087999999993</x:v>
      </x:c>
      <x:c r="C31" s="15" t="str">
        <x:v>Chỉ tiêu phụ, không dùng thay Cost/Job đủ 5 khoản để kiểm tra giá sàn.</x:v>
      </x:c>
    </x:row>
    <x:row r="32" ht="58" customHeight="1">
      <x:c r="A32" s="15" t="str">
        <x:v>API no cache USD/job</x:v>
      </x:c>
      <x:c r="B32" s="28" t="n">
        <x:f>((B10*(B11+B12))*B6+B10*B13*B7)/1000000</x:f>
        <x:v>0.023584</x:v>
      </x:c>
      <x:c r="C32" s="15" t="str">
        <x:v>Giả định toàn bộ input trả giá fresh</x:v>
      </x:c>
    </x:row>
    <x:row r="33" ht="58" customHeight="1">
      <x:c r="A33" s="15" t="str">
        <x:v>Cache saving %</x:v>
      </x:c>
      <x:c r="B33" s="25" t="n">
        <x:f>1-B14/B32</x:f>
        <x:v>0.42550881953867037</x:v>
      </x:c>
      <x:c r="C33" s="15" t="str">
        <x:v>So với không caching</x:v>
      </x:c>
    </x:row>
    <x:row r="34" ht="58" customHeight="1">
      <x:c r="A34" s="15" t="str">
        <x:v>Số phòng</x:v>
      </x:c>
      <x:c r="B34" s="35" t="n">
        <x:v>80</x:v>
      </x:c>
      <x:c r="C34" s="15" t="str">
        <x:v>Giả định cơ sở ở đầu trên ICP 20–80 phòng; không đại diện cơ sở nhỏ hơn.</x:v>
      </x:c>
    </x:row>
    <x:row r="35" ht="58" customHeight="1">
      <x:c r="A35" s="15" t="str">
        <x:v>Công suất phòng</x:v>
      </x:c>
      <x:c r="B35" s="26" t="n">
        <x:v>0.8</x:v>
      </x:c>
      <x:c r="C35" s="15" t="str">
        <x:v>Giả định; lấy occupancy thực tế từ PMS khi pilot.</x:v>
      </x:c>
    </x:row>
    <x:row r="36" ht="58" customHeight="1">
      <x:c r="A36" s="15" t="str">
        <x:v>Ngày/tháng</x:v>
      </x:c>
      <x:c r="B36" s="35" t="n">
        <x:v>30</x:v>
      </x:c>
      <x:c r="C36" s="15" t="str">
        <x:v>Tháng chuẩn cho mô hình; thay theo tháng thực tế.</x:v>
      </x:c>
    </x:row>
    <x:row r="37" ht="58" customHeight="1">
      <x:c r="A37" s="15" t="str">
        <x:v>Số đêm/booking</x:v>
      </x:c>
      <x:c r="B37" s="35" t="n">
        <x:v>2</x:v>
      </x:c>
      <x:c r="C37" s="15" t="str">
        <x:v>Giả định thời gian lưu trú bình quân; kiểm chứng bằng PMS.</x:v>
      </x:c>
    </x:row>
    <x:row r="38" ht="58" customHeight="1">
      <x:c r="A38" s="15" t="str">
        <x:v>Thiết bị USD</x:v>
      </x:c>
      <x:c r="B38" s="33" t="n">
        <x:v>900</x:v>
      </x:c>
      <x:c r="C38" s="15" t="str">
        <x:v>Giả định ngân sách máy/màn hình, chưa phải báo giá.</x:v>
      </x:c>
    </x:row>
    <x:row r="39" ht="58" customHeight="1">
      <x:c r="A39" s="15" t="str">
        <x:v>Khấu hao thiết bị/tháng</x:v>
      </x:c>
      <x:c r="B39" s="28" t="n">
        <x:f>B38/B43</x:f>
        <x:v>25</x:v>
      </x:c>
      <x:c r="C39" s="15" t="str">
        <x:v>Nhà cung cấp sở hữu thiết bị; không dùng thiết bị miễn phí.</x:v>
      </x:c>
    </x:row>
    <x:row r="40" ht="58" customHeight="1">
      <x:c r="A40" s="15" t="str">
        <x:v>Hỗ trợ vận hành/tháng</x:v>
      </x:c>
      <x:c r="B40" s="28" t="n">
        <x:f>B44*B21</x:f>
        <x:v>24</x:v>
      </x:c>
      <x:c r="C40" s="15" t="str">
        <x:v>Giờ hỗ trợ riêng, không trùng QA/escalation.</x:v>
      </x:c>
    </x:row>
    <x:row r="41" ht="58" customHeight="1">
      <x:c r="A41" s="15" t="str">
        <x:v>Triển khai phân bổ/tháng</x:v>
      </x:c>
      <x:c r="B41" s="28" t="n">
        <x:f>B45/B46</x:f>
        <x:v>20</x:v>
      </x:c>
      <x:c r="C41" s="15" t="str">
        <x:v>Thiết lập PMS/onboarding $240 phân bổ 12 tháng; churn sớm cần tính lại.</x:v>
      </x:c>
    </x:row>
    <x:row r="42" ht="58" customHeight="1">
      <x:c r="A42" s="15" t="str">
        <x:v>Quản trị phân bổ/tháng</x:v>
      </x:c>
      <x:c r="B42" s="33" t="n">
        <x:v>150</x:v>
      </x:c>
      <x:c r="C42" s="15" t="str">
        <x:v>Giả định phân bổ quản trị/R&amp;D; CAC ghi riêng tại tab 4.</x:v>
      </x:c>
    </x:row>
    <x:row r="43" ht="58" customHeight="1">
      <x:c r="A43" s="15" t="str">
        <x:v>Tuổi thọ thiết bị/tháng</x:v>
      </x:c>
      <x:c r="B43" s="35" t="n">
        <x:v>36</x:v>
      </x:c>
      <x:c r="C43" s="15" t="str">
        <x:v>Giả định; giá trị còn lại bằng 0.</x:v>
      </x:c>
    </x:row>
    <x:row r="44" ht="58" customHeight="1">
      <x:c r="A44" s="15" t="str">
        <x:v>Giờ hỗ trợ/tháng</x:v>
      </x:c>
      <x:c r="B44" s="35" t="n">
        <x:v>4</x:v>
      </x:c>
      <x:c r="C44" s="15" t="str">
        <x:v>Giả định bảo trì và cấu hình; không gồm QA/escalation.</x:v>
      </x:c>
    </x:row>
    <x:row r="45" ht="58" customHeight="1">
      <x:c r="A45" s="15" t="str">
        <x:v>Chi phí setup USD</x:v>
      </x:c>
      <x:c r="B45" s="33" t="n">
        <x:v>240</x:v>
      </x:c>
      <x:c r="C45" s="15" t="str">
        <x:v>Giả định 40 giờ × $6, chưa có báo giá kỹ thuật.</x:v>
      </x:c>
    </x:row>
    <x:row r="46" ht="58" customHeight="1">
      <x:c r="A46" s="15" t="str">
        <x:v>Thời gian phân bổ setup/tháng</x:v>
      </x:c>
      <x:c r="B46" s="35" t="n">
        <x:v>12</x:v>
      </x:c>
      <x:c r="C46" s="15" t="str">
        <x:v>Giả định duy trì khách 12 tháng, cần kiểm tra retention.</x:v>
      </x:c>
    </x:row>
    <x:row r="47" ht="58" customHeight="1">
      <x:c r="A47" s="15" t="str">
        <x:v>API khi không cache/tháng</x:v>
      </x:c>
      <x:c r="B47" s="28" t="n">
        <x:f>B3*B32</x:f>
        <x:v>22.64064</x:v>
      </x:c>
      <x:c r="C47" s="15" t="str">
        <x:v>Stress cache miss; retry áp dụng cùng tỷ lệ.</x:v>
      </x:c>
    </x:row>
    <x:row r="48" ht="58" customHeight="1">
      <x:c r="A48" s="15" t="str">
        <x:v>Cost/Job no-cache</x:v>
      </x:c>
      <x:c r="B48" s="28" t="n">
        <x:f>(B47*(1+B17)+B26+B27+B28+B23)/B5</x:f>
        <x:v>0.5732446499999999</x:v>
      </x:c>
      <x:c r="C48" s="15" t="str">
        <x:v>Không-cache vẫn bao gồm đủ 5 khoản.</x:v>
      </x:c>
    </x:row>
    <x:row r="49" ht="58" customHeight="1">
      <x:c r="A49" s="15"/>
      <x:c r="B49" s="16"/>
      <x:c r="C49" s="15"/>
    </x:row>
    <x:row r="50" ht="58" customHeight="1">
      <x:c r="A50" s="15"/>
      <x:c r="B50" s="16"/>
      <x:c r="C50" s="15"/>
    </x:row>
    <x:row r="51" ht="58" customHeight="1">
      <x:c r="A51" s="15"/>
      <x:c r="B51" s="16"/>
      <x:c r="C51" s="15"/>
    </x:row>
    <x:row r="52" ht="58" customHeight="1">
      <x:c r="A52" s="15"/>
      <x:c r="B52" s="16"/>
      <x:c r="C52" s="15"/>
    </x:row>
    <x:row r="53" ht="58" customHeight="1">
      <x:c r="A53" s="15"/>
      <x:c r="B53" s="16"/>
      <x:c r="C53" s="15"/>
    </x:row>
    <x:row r="54" ht="58" customHeight="1">
      <x:c r="A54" s="15"/>
      <x:c r="B54" s="16"/>
      <x:c r="C54" s="15"/>
    </x:row>
    <x:row r="55" ht="58" customHeight="1">
      <x:c r="A55" s="15"/>
      <x:c r="B55" s="16"/>
      <x:c r="C55" s="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72" hidden="0" customWidth="1"/>
    <x:col min="3" max="3" width="85" hidden="0" customWidth="1"/>
  </x:cols>
  <x:sheetData>
    <x:row r="1">
      <x:c r="A1" s="14" t="str">
        <x:v>2_Pricing</x:v>
      </x:c>
      <x:c r="B1" s="14" t="str">
        <x:v>Giá trị / Công thức</x:v>
      </x:c>
      <x:c r="C1" s="14" t="str">
        <x:v>Ghi chú / bằng chứng</x:v>
      </x:c>
    </x:row>
    <x:row r="2" ht="58" customHeight="1">
      <x:c r="A2" s="15" t="str">
        <x:v>Cost/Job đủ 5 khoản</x:v>
      </x:c>
      <x:c r="B2" s="32" t="n">
        <x:f>'1_Cost_Job'!B30</x:f>
        <x:v>0.5596971299999999</x:v>
      </x:c>
      <x:c r="C2" s="15" t="str">
        <x:v>Chỉ tiêu theo đề.</x:v>
      </x:c>
    </x:row>
    <x:row r="3" ht="58" customHeight="1">
      <x:c r="A3" s="15" t="str">
        <x:v>Giá sàn 3×</x:v>
      </x:c>
      <x:c r="B3" s="28" t="n">
        <x:f>3*B2</x:f>
        <x:v>1.6790913899999995</x:v>
      </x:c>
      <x:c r="C3" s="15" t="str">
        <x:v>Ngưỡng bài lab</x:v>
      </x:c>
    </x:row>
    <x:row r="4" ht="58" customHeight="1">
      <x:c r="A4" s="15" t="str">
        <x:v>Giá đề xuất / phiên hoàn tất</x:v>
      </x:c>
      <x:c r="B4" s="28" t="n">
        <x:f>ROUNDUP(B3,1)</x:f>
        <x:v>1.7</x:v>
      </x:c>
      <x:c r="C4" s="15" t="str">
        <x:v>Làm tròn lên $0,10 từ giá sàn; giả thuyết giá cần kiểm tra với khách.</x:v>
      </x:c>
    </x:row>
    <x:row r="5" ht="58" customHeight="1">
      <x:c r="A5" s="15" t="str">
        <x:v>GM_lab đủ 5 khoản</x:v>
      </x:c>
      <x:c r="B5" s="41" t="n">
        <x:f>1-B2/B4</x:f>
        <x:v>0.6707663941176472</x:v>
      </x:c>
      <x:c r="C5" s="15" t="str">
        <x:v>Biên mô hình theo lab, gồm chi phí phân bổ; GM_COGS xem B20.</x:v>
      </x:c>
    </x:row>
    <x:row r="6" ht="58" customHeight="1">
      <x:c r="A6" s="15" t="str">
        <x:v>Giá trị tiết kiệm/tháng</x:v>
      </x:c>
      <x:c r="B6" s="43" t="n">
        <x:f>'1_Cost_Job'!B5*B22/60*B23</x:f>
        <x:v>2304</x:v>
      </x:c>
      <x:c r="C6" s="15" t="str">
        <x:v>Giá trị giờ công giải phóng, chưa phải tiết kiệm tiền mặt hay cắt giảm nhân sự.</x:v>
      </x:c>
    </x:row>
    <x:row r="7" ht="58" customHeight="1">
      <x:c r="A7" s="15" t="str">
        <x:v>Giá trần theo tiết kiệm/job</x:v>
      </x:c>
      <x:c r="B7" s="32" t="n">
        <x:f>B6*B24/'1_Cost_Job'!B5</x:f>
        <x:v>2.1</x:v>
      </x:c>
      <x:c r="C7" s="15" t="str">
        <x:v>70% giá trị giờ công; để lại 30% cho khách. Chỉ là giới hạn giả thuyết.</x:v>
      </x:c>
    </x:row>
    <x:row r="8" ht="58" customHeight="1">
      <x:c r="A8" s="15" t="str">
        <x:v>Chi phí nhân sự/tháng</x:v>
      </x:c>
      <x:c r="B8" s="44" t="n">
        <x:f>B23*B25</x:f>
        <x:v>3200</x:v>
      </x:c>
      <x:c r="C8" s="15" t="str">
        <x:v>Đơn giá đầy đủ × tổng giờ nhân sự B25; giả định, không phải benchmark lương thực tế.</x:v>
      </x:c>
    </x:row>
    <x:row r="9" ht="58" customHeight="1">
      <x:c r="A9" s="15" t="str">
        <x:v>Giá trần theo nhân sự/job</x:v>
      </x:c>
      <x:c r="B9" s="32" t="n">
        <x:f>B8*B24/'1_Cost_Job'!B5</x:f>
        <x:v>2.9166666666666665</x:v>
      </x:c>
      <x:c r="C9" s="15" t="str">
        <x:v>Neo phụ; chọn MIN(B7,B9), không dùng hai giá trần thay thế tùy ý.</x:v>
      </x:c>
    </x:row>
    <x:row r="10" ht="58" customHeight="1">
      <x:c r="A10" s="15" t="str">
        <x:v>Revenue/tháng</x:v>
      </x:c>
      <x:c r="B10" s="43" t="n">
        <x:f>B4*'1_Cost_Job'!B5</x:f>
        <x:v>1305.6</x:v>
      </x:c>
      <x:c r="C10" s="15" t="str">
        <x:v>Nếu tất cả completed jobs tính phí</x:v>
      </x:c>
    </x:row>
    <x:row r="11" ht="58" customHeight="1">
      <x:c r="A11" s="15" t="str">
        <x:v>Lợi nhuận mô hình/tháng</x:v>
      </x:c>
      <x:c r="B11" s="43" t="n">
        <x:f>B10-'1_Cost_Job'!B29-'1_Cost_Job'!B23</x:f>
        <x:v>875.7526041599999</x:v>
      </x:c>
      <x:c r="C11" s="15" t="str">
        <x:v>Đã trừ 5 khoản, chưa CAC/thuế; setup phân bổ khác chi tiền ban đầu.</x:v>
      </x:c>
    </x:row>
    <x:row r="12" ht="58" customHeight="1">
      <x:c r="A12" s="15" t="str">
        <x:v>GM target</x:v>
      </x:c>
      <x:c r="B12" s="26" t="n">
        <x:v>0.6</x:v>
      </x:c>
      <x:c r="C12" s="15" t="str">
        <x:v>Mục tiêu rubric</x:v>
      </x:c>
    </x:row>
    <x:row r="13" ht="58" customHeight="1">
      <x:c r="A13" s="15" t="str">
        <x:v>Containment để GM_lab ≥60%</x:v>
      </x:c>
      <x:c r="B13" s="42" t="n">
        <x:f>(('1_Cost_Job'!B24+'1_Cost_Job'!B25+'1_Cost_Job'!B26+'1_Cost_Job'!B27+'1_Cost_Job'!B23)+'1_Cost_Job'!B3*IF('1_Cost_Job'!B22="B",'1_Cost_Job'!B20/60*'1_Cost_Job'!B21,0))/('1_Cost_Job'!B3*(B4*(1-B12)+IF('1_Cost_Job'!B22="B",'1_Cost_Job'!B20/60*'1_Cost_Job'!B21,0)))</x:f>
        <x:v>0.7349714216216217</x:v>
      </x:c>
      <x:c r="C13" s="15" t="str">
        <x:v>Biến thể B; khác ngưỡng hòa vốn B21. Nếu ngưỡng &gt;100%, giá không khả thi.</x:v>
      </x:c>
    </x:row>
    <x:row r="14" ht="58" customHeight="1">
      <x:c r="A14" s="15" t="str">
        <x:v>Gap so với containment giả định</x:v>
      </x:c>
      <x:c r="B14" s="42" t="n">
        <x:f>'1_Cost_Job'!B4-B13</x:f>
        <x:v>0.06502857837837839</x:v>
      </x:c>
      <x:c r="C14" s="15" t="str">
        <x:v>Âm nghĩa là mô hình chưa đạt</x:v>
      </x:c>
    </x:row>
    <x:row r="15" ht="58" customHeight="1">
      <x:c r="A15" s="15" t="str">
        <x:v>Stress containment 50%: cost/job</x:v>
      </x:c>
      <x:c r="B15" s="32" t="n">
        <x:f>(('1_Cost_Job'!B24+'1_Cost_Job'!B25+'1_Cost_Job'!B26+'1_Cost_Job'!B27+'1_Cost_Job'!B23)+'1_Cost_Job'!B3*(1-0.5)*IF('1_Cost_Job'!B22="B",'1_Cost_Job'!B20/60*'1_Cost_Job'!B21,0))/('1_Cost_Job'!B3*0.5)</x:f>
        <x:v>1.3755154079999998</x:v>
      </x:c>
      <x:c r="C15" s="15" t="str">
        <x:v>Biến thể B, đủ 5 khoản. Thử containment thấp để tìm vùng gãy.</x:v>
      </x:c>
    </x:row>
    <x:row r="16" ht="58" customHeight="1">
      <x:c r="A16" s="15" t="str">
        <x:v>Stress containment 60%: cost/job</x:v>
      </x:c>
      <x:c r="B16" s="32" t="n">
        <x:f>(('1_Cost_Job'!B24+'1_Cost_Job'!B25+'1_Cost_Job'!B26+'1_Cost_Job'!B27+'1_Cost_Job'!B23)+'1_Cost_Job'!B3*(1-0.6)*IF('1_Cost_Job'!B22="B",'1_Cost_Job'!B20/60*'1_Cost_Job'!B21,0))/('1_Cost_Job'!B3*0.6)</x:f>
        <x:v>1.0129295066666666</x:v>
      </x:c>
      <x:c r="C16" s="15" t="str">
        <x:v>Biến thể B, đủ 5 khoản. Thử containment thấp để tìm vùng gãy.</x:v>
      </x:c>
    </x:row>
    <x:row r="17" ht="58" customHeight="1">
      <x:c r="A17" s="15" t="str">
        <x:v>Stress containment 70%: cost/job</x:v>
      </x:c>
      <x:c r="B17" s="32" t="n">
        <x:f>(('1_Cost_Job'!B24+'1_Cost_Job'!B25+'1_Cost_Job'!B26+'1_Cost_Job'!B27+'1_Cost_Job'!B23)+'1_Cost_Job'!B3*(1-0.7)*IF('1_Cost_Job'!B22="B",'1_Cost_Job'!B20/60*'1_Cost_Job'!B21,0))/('1_Cost_Job'!B3*0.7)</x:f>
        <x:v>0.7539395771428572</x:v>
      </x:c>
      <x:c r="C17" s="15" t="str">
        <x:v>Biến thể B, đủ 5 khoản. Thử containment thấp để tìm vùng gãy.</x:v>
      </x:c>
    </x:row>
    <x:row r="18" ht="58" customHeight="1">
      <x:c r="A18" s="15" t="str">
        <x:v>Stress containment 80%: cost/job</x:v>
      </x:c>
      <x:c r="B18" s="32" t="n">
        <x:f>(('1_Cost_Job'!B24+'1_Cost_Job'!B25+'1_Cost_Job'!B26+'1_Cost_Job'!B27+'1_Cost_Job'!B23)+'1_Cost_Job'!B3*(1-0.8)*IF('1_Cost_Job'!B22="B",'1_Cost_Job'!B20/60*'1_Cost_Job'!B21,0))/('1_Cost_Job'!B3*0.8)</x:f>
        <x:v>0.5596971299999999</x:v>
      </x:c>
      <x:c r="C18" s="15" t="str">
        <x:v>Biến thể B, đủ 5 khoản. Thử containment thấp để tìm vùng gãy.</x:v>
      </x:c>
    </x:row>
    <x:row r="19" ht="58" customHeight="1">
      <x:c r="A19" s="15" t="str">
        <x:v>Stress containment 90%: cost/job</x:v>
      </x:c>
      <x:c r="B19" s="32" t="n">
        <x:f>(('1_Cost_Job'!B24+'1_Cost_Job'!B25+'1_Cost_Job'!B26+'1_Cost_Job'!B27+'1_Cost_Job'!B23)+'1_Cost_Job'!B3*(1-0.9)*IF('1_Cost_Job'!B22="B",'1_Cost_Job'!B20/60*'1_Cost_Job'!B21,0))/('1_Cost_Job'!B3*0.9)</x:f>
        <x:v>0.408619671111111</x:v>
      </x:c>
      <x:c r="C19" s="15" t="str">
        <x:v>Biến thể B, đủ 5 khoản. Thử containment thấp để tìm vùng gãy.</x:v>
      </x:c>
    </x:row>
    <x:row r="20" ht="58" customHeight="1">
      <x:c r="A20" s="15" t="str">
        <x:v>GM_COGS</x:v>
      </x:c>
      <x:c r="B20" s="42" t="n">
        <x:f>1-'1_Cost_Job'!B31/B4</x:f>
        <x:v>0.8385053647058824</x:v>
      </x:c>
      <x:c r="C20" s="15" t="str">
        <x:v>Chỉ tiêu phụ; không thay GM_lab.</x:v>
      </x:c>
    </x:row>
    <x:row r="21" ht="58" customHeight="1">
      <x:c r="A21" s="15" t="str">
        <x:v>Breakeven containment (lãi=0)</x:v>
      </x:c>
      <x:c r="B21" s="42" t="n">
        <x:f>(('1_Cost_Job'!B24+'1_Cost_Job'!B25+'1_Cost_Job'!B26+'1_Cost_Job'!B27+'1_Cost_Job'!B23)+'1_Cost_Job'!B3*IF('1_Cost_Job'!B22="B",'1_Cost_Job'!B20/60*'1_Cost_Job'!B21,0))/('1_Cost_Job'!B3*(B4+IF('1_Cost_Job'!B22="B",'1_Cost_Job'!B20/60*'1_Cost_Job'!B21,0)))</x:f>
        <x:v>0.43510308160000005</x:v>
      </x:c>
      <x:c r="C21" s="15" t="str">
        <x:v>Hòa vốn sau đủ 5 khoản, trước CAC/thuế; công thức biến thể B.</x:v>
      </x:c>
    </x:row>
    <x:row r="22" ht="58" customHeight="1">
      <x:c r="A22" s="15" t="str">
        <x:v>Phút lễ tân tiết kiệm/job</x:v>
      </x:c>
      <x:c r="B22" s="46" t="n">
        <x:v>18</x:v>
      </x:c>
      <x:c r="C22" s="15" t="str">
        <x:v>Giả định optimistic; time-motion pilot phải đo chênh lệch trước/sau, trừ thời gian hỗ trợ kiosk.</x:v>
      </x:c>
    </x:row>
    <x:row r="23" ht="58" customHeight="1">
      <x:c r="A23" s="15" t="str">
        <x:v>Chi phí lễ tân USD/giờ</x:v>
      </x:c>
      <x:c r="B23" s="45" t="n">
        <x:v>10</x:v>
      </x:c>
      <x:c r="C23" s="15" t="str">
        <x:v>Giả định planning, chưa phải dữ liệu thị trường; cần báo giá/payroll khách.</x:v>
      </x:c>
    </x:row>
    <x:row r="24" ht="58" customHeight="1">
      <x:c r="A24" s="15" t="str">
        <x:v>Tỷ lệ capture giá trị</x:v>
      </x:c>
      <x:c r="B24" s="26" t="n">
        <x:v>0.7</x:v>
      </x:c>
      <x:c r="C24" s="15" t="str">
        <x:v>Giả định thương mại; không phải mức willingness-to-pay đã xác thực.</x:v>
      </x:c>
    </x:row>
    <x:row r="25" ht="58" customHeight="1">
      <x:c r="A25" s="15" t="str">
        <x:v>Giờ nhân sự/tháng</x:v>
      </x:c>
      <x:c r="B25" s="46" t="n">
        <x:v>320</x:v>
      </x:c>
      <x:c r="C25" s="15" t="str">
        <x:v>Giả định 2 nhân sự × 20 ngày × 8 giờ cho quầy 80 phòng; không khẳng định thay được 2 người. Kiểm chứng payroll và giờ tiết kiệm.</x:v>
      </x:c>
    </x:row>
    <x:row r="26" ht="58" customHeight="1">
      <x:c r="A26" s="15" t="str">
        <x:v>Giá trần chọn</x:v>
      </x:c>
      <x:c r="B26" s="28" t="n">
        <x:f>MIN(B7,B9)</x:f>
        <x:v>2.1</x:v>
      </x:c>
      <x:c r="C26" s="15" t="str">
        <x:v>Chọn mức thấp hơn trong hai neo.</x:v>
      </x:c>
    </x:row>
    <x:row r="27" ht="58" customHeight="1">
      <x:c r="A27" s="15" t="str">
        <x:v>Kiểm tra hành lang giá</x:v>
      </x:c>
      <x:c r="B27" s="25" t="str">
        <x:f>IF(AND(B4&gt;=B3,B4&lt;=B26,B5&gt;=B12),"Đạt trong giả định","Cần sửa giá/chi phí")</x:f>
        <x:v>Đạt trong giả định</x:v>
      </x:c>
      <x:c r="C27" s="15" t="str">
        <x:v>Chưa xác nhận khả năng bán thực tế.</x:v>
      </x:c>
    </x:row>
    <x:row r="28" ht="58" customHeight="1">
      <x:c r="A28" s="15" t="str">
        <x:v>Containment eval</x:v>
      </x:c>
      <x:c r="B28" s="16" t="str">
        <x:v>CHƯA ĐO</x:v>
      </x:c>
      <x:c r="C28" s="15" t="str">
        <x:v>Eval offline 08/11; pilot 08/12. Không lấy 80% giả định làm kết quả eval.</x:v>
      </x:c>
    </x:row>
    <x:row r="29" ht="58" customHeight="1">
      <x:c r="A29" s="15" t="str">
        <x:v>GM_lab no-cache</x:v>
      </x:c>
      <x:c r="B29" s="42" t="n">
        <x:f>1-'1_Cost_Job'!B48/B4</x:f>
        <x:v>0.6627972647058824</x:v>
      </x:c>
      <x:c r="C29" s="15" t="str">
        <x:v>Stress giá list khi cache không hiệu quả.</x:v>
      </x:c>
    </x:row>
    <x:row r="30" ht="58" customHeight="1">
      <x:c r="A30" s="15" t="str">
        <x:v>Ngưỡng phút tiết kiệm tối thiểu</x:v>
      </x:c>
      <x:c r="B30" s="40" t="n">
        <x:f>B4/B24/B23*60</x:f>
        <x:v>14.571428571428573</x:v>
      </x:c>
      <x:c r="C30" s="15" t="str">
        <x:v>Nếu pilot đo dưới ngưỡng này, giá hiện tại vượt neo tiết kiệm; dừng hoặc thiết kế lại.</x:v>
      </x:c>
    </x:row>
    <x:row r="31" ht="58" customHeight="1">
      <x:c r="A31" s="15" t="str">
        <x:v>Điều kiện go/no-go</x:v>
      </x:c>
      <x:c r="B31" s="16" t="str">
        <x:v>Chỉ bán khi eval vượt ngưỡng và khách xác nhận giá trị</x:v>
      </x:c>
      <x:c r="C31" s="15" t="str">
        <x:v>Containment đo, phút tiết kiệm, quote chi phí và willingness-to-pay phải cùng đạt; không chỉ nhìn GM giả định.</x:v>
      </x:c>
    </x:row>
    <x:row r="32" ht="58" customHeight="1">
      <x:c r="A32" s="15"/>
      <x:c r="B32" s="16"/>
      <x:c r="C32" s="15"/>
    </x:row>
    <x:row r="33" ht="58" customHeight="1">
      <x:c r="A33" s="15"/>
      <x:c r="B33" s="16"/>
      <x:c r="C33" s="15"/>
    </x:row>
    <x:row r="34" ht="58" customHeight="1">
      <x:c r="A34" s="15"/>
      <x:c r="B34" s="16"/>
      <x:c r="C34" s="15"/>
    </x:row>
    <x:row r="35" ht="58" customHeight="1">
      <x:c r="A35" s="15"/>
      <x:c r="B35" s="16"/>
      <x:c r="C35" s="15"/>
    </x:row>
    <x:row r="36" ht="58" customHeight="1">
      <x:c r="A36" s="15"/>
      <x:c r="B36" s="16"/>
      <x:c r="C36" s="15"/>
    </x:row>
    <x:row r="37" ht="58" customHeight="1">
      <x:c r="A37" s="15"/>
      <x:c r="B37" s="16"/>
      <x:c r="C37" s="15"/>
    </x:row>
    <x:row r="38" ht="58" customHeight="1">
      <x:c r="A38" s="15"/>
      <x:c r="B38" s="16"/>
      <x:c r="C38" s="15"/>
    </x:row>
    <x:row r="39" ht="58" customHeight="1">
      <x:c r="A39" s="15"/>
      <x:c r="B39" s="16"/>
      <x:c r="C39" s="15"/>
    </x:row>
    <x:row r="40" ht="58" customHeight="1">
      <x:c r="A40" s="15"/>
      <x:c r="B40" s="16"/>
      <x:c r="C40" s="15"/>
    </x:row>
    <x:row r="41" ht="58" customHeight="1">
      <x:c r="A41" s="15"/>
      <x:c r="B41" s="16"/>
      <x:c r="C41" s="15"/>
    </x:row>
    <x:row r="42" ht="58" customHeight="1">
      <x:c r="A42" s="15"/>
      <x:c r="B42" s="16"/>
      <x:c r="C42" s="15"/>
    </x:row>
    <x:row r="43" ht="58" customHeight="1">
      <x:c r="A43" s="15"/>
      <x:c r="B43" s="16"/>
      <x:c r="C43" s="15"/>
    </x:row>
    <x:row r="44" ht="58" customHeight="1">
      <x:c r="A44" s="15"/>
      <x:c r="B44" s="16"/>
      <x:c r="C44" s="15"/>
    </x:row>
    <x:row r="45" ht="58" customHeight="1">
      <x:c r="A45" s="15"/>
      <x:c r="B45" s="16"/>
      <x:c r="C45" s="15"/>
    </x:row>
    <x:row r="46" ht="58" customHeight="1">
      <x:c r="A46" s="15"/>
      <x:c r="B46" s="16"/>
      <x:c r="C46" s="15"/>
    </x:row>
    <x:row r="47" ht="58" customHeight="1">
      <x:c r="A47" s="15"/>
      <x:c r="B47" s="16"/>
      <x:c r="C47" s="15"/>
    </x:row>
    <x:row r="48" ht="58" customHeight="1">
      <x:c r="A48" s="15"/>
      <x:c r="B48" s="16"/>
      <x:c r="C48" s="15"/>
    </x:row>
    <x:row r="49" ht="58" customHeight="1">
      <x:c r="A49" s="15"/>
      <x:c r="B49" s="16"/>
      <x:c r="C49" s="15"/>
    </x:row>
    <x:row r="50" ht="58" customHeight="1">
      <x:c r="A50" s="15"/>
      <x:c r="B50" s="16"/>
      <x:c r="C50" s="15"/>
    </x:row>
    <x:row r="51" ht="58" customHeight="1">
      <x:c r="A51" s="15"/>
      <x:c r="B51" s="16"/>
      <x:c r="C51" s="15"/>
    </x:row>
    <x:row r="52" ht="58" customHeight="1">
      <x:c r="A52" s="15"/>
      <x:c r="B52" s="16"/>
      <x:c r="C52" s="15"/>
    </x:row>
    <x:row r="53" ht="58" customHeight="1">
      <x:c r="A53" s="15"/>
      <x:c r="B53" s="16"/>
      <x:c r="C53" s="15"/>
    </x:row>
    <x:row r="54" ht="58" customHeight="1">
      <x:c r="A54" s="15"/>
      <x:c r="B54" s="16"/>
      <x:c r="C54" s="15"/>
    </x:row>
    <x:row r="55" ht="58" customHeight="1">
      <x:c r="A55" s="15"/>
      <x:c r="B55" s="16"/>
      <x:c r="C55" s="1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72" hidden="0" customWidth="1"/>
    <x:col min="3" max="3" width="85" hidden="0" customWidth="1"/>
  </x:cols>
  <x:sheetData>
    <x:row r="1">
      <x:c r="A1" s="14" t="str">
        <x:v>3_Value_Metric</x:v>
      </x:c>
      <x:c r="B1" s="14" t="str">
        <x:v>Giá trị / Công thức</x:v>
      </x:c>
      <x:c r="C1" s="14" t="str">
        <x:v>Ghi chú / bằng chứng</x:v>
      </x:c>
    </x:row>
    <x:row r="2" ht="58" customHeight="1">
      <x:c r="A2" s="15" t="str">
        <x:v>Buyer</x:v>
      </x:c>
      <x:c r="B2" s="16" t="str">
        <x:v>Quản lý vận hành khách sạn nhỏ</x:v>
      </x:c>
      <x:c r="C2" s="15" t="str">
        <x:v>Giả thuyết ICP: 20–80 phòng</x:v>
      </x:c>
    </x:row>
    <x:row r="3" ht="58" customHeight="1">
      <x:c r="A3" s="15" t="str">
        <x:v>Ngân sách</x:v>
      </x:c>
      <x:c r="B3" s="16" t="str">
        <x:v>Vận hành / chi phí lễ tân</x:v>
      </x:c>
      <x:c r="C3" s="15" t="str">
        <x:v>Người ký: chủ cơ sở hoặc quản lý được ủy quyền</x:v>
      </x:c>
    </x:row>
    <x:row r="4" ht="58" customHeight="1">
      <x:c r="A4" s="15" t="str">
        <x:v>A – công cụ</x:v>
      </x:c>
      <x:c r="B4" s="16" t="str">
        <x:v>Kiosk AI hỗ trợ check-in</x:v>
      </x:c>
      <x:c r="C4" s="15" t="str">
        <x:v>Dễ bị coi là phần mềm bổ sung</x:v>
      </x:c>
    </x:row>
    <x:row r="5" ht="58" customHeight="1">
      <x:c r="A5" s="15" t="str">
        <x:v>B – thay công việc</x:v>
      </x:c>
      <x:c r="B5" s="16" t="str">
        <x:v>Giảm thao tác tra cứu và hướng dẫn check-in lặp lại</x:v>
      </x:c>
      <x:c r="C5" s="15" t="str">
        <x:v>Chọn B vì ngân sách vận hành gắn với thời gian xử lý</x:v>
      </x:c>
    </x:row>
    <x:row r="6" ht="58" customHeight="1">
      <x:c r="A6" s="15" t="str">
        <x:v>Attribution</x:v>
      </x:c>
      <x:c r="B6" s="16" t="str">
        <x:v>THẤP / chưa kiểm chứng</x:v>
      </x:c>
      <x:c r="C6" s="15" t="str">
        <x:v>Chưa có log đối chiếu kiosk vs lễ tân và xác nhận hoàn tất</x:v>
      </x:c>
    </x:row>
    <x:row r="7" ht="58" customHeight="1">
      <x:c r="A7" s="15" t="str">
        <x:v>Autonomy</x:v>
      </x:c>
      <x:c r="B7" s="16" t="str">
        <x:v>THẤP / chưa kiểm chứng</x:v>
      </x:c>
      <x:c r="C7" s="15" t="str">
        <x:v>Có bước xác minh booking và can thiệp khi lỗi</x:v>
      </x:c>
    </x:row>
    <x:row r="8" ht="58" customHeight="1">
      <x:c r="A8" s="15" t="str">
        <x:v>Value Metric</x:v>
      </x:c>
      <x:c r="B8" s="16" t="str">
        <x:v>Usage: mỗi phiên hướng dẫn hợp lệ hoàn tất</x:v>
      </x:c>
      <x:c r="C8" s="15" t="str">
        <x:v>Đơn vị dịch vụ kiosk, không thu theo khách nhận phòng/doanh thu; không bảo đảm kết quả check-in pháp lý.</x:v>
      </x:c>
    </x:row>
    <x:row r="9" ht="58" customHeight="1">
      <x:c r="A9" s="15" t="str">
        <x:v>Market override</x:v>
      </x:c>
      <x:c r="B9" s="16" t="str">
        <x:v>Usage cho pilot thay seat</x:v>
      </x:c>
      <x:c r="C9" s="15" t="str">
        <x:v>Kiosk dùng chung, ít seat nhưng tải đổi theo lượng khách; khách đối soát được session_id. Đây là lý do thị trường, chưa là bằng chứng WTP.</x:v>
      </x:c>
    </x:row>
    <x:row r="10" ht="58" customHeight="1">
      <x:c r="A10" s="15" t="str">
        <x:v>Decision note 1</x:v>
      </x:c>
      <x:c r="B10" s="16" t="str">
        <x:v>Chọn Usage theo phiên dịch vụ hướng dẫn hoàn tất, có log đối soát.</x:v>
      </x:c>
      <x:c r="C10" s="15" t="str">
        <x:v>Booking lookup hợp lệ + đủ hướng dẫn; hoàn tất dịch vụ hẹp, không phải nhận phòng thành công.</x:v>
      </x:c>
    </x:row>
    <x:row r="11" ht="58" customHeight="1">
      <x:c r="A11" s="15" t="str">
        <x:v>Decision note 2</x:v>
      </x:c>
      <x:c r="B11" s="16" t="str">
        <x:v>Attribution và Autonomy thấp/chưa đo nên không bán kết quả nhận phòng hay doanh thu.</x:v>
      </x:c>
      <x:c r="C11" s="15" t="str">
        <x:v>Metric lệch gợi ý Seat vì kiosk dùng chung và chi phí biến thiên theo tải.</x:v>
      </x:c>
    </x:row>
    <x:row r="12" ht="58" customHeight="1">
      <x:c r="A12" s="15" t="str">
        <x:v>Decision note 3</x:v>
      </x:c>
      <x:c r="B12" s="16" t="str">
        <x:v>Pilot có hóa đơn theo phiên, lỗi và escalation không tính phí; chỉ nâng sang Outcome sau eval.</x:v>
      </x:c>
      <x:c r="C12" s="15" t="str">
        <x:v>Một session_id/booking/sự kiện; retry không tạo phiên tính phí mới; khách có quyền đối soát.</x:v>
      </x:c>
    </x:row>
    <x:row r="13" ht="58" customHeight="1">
      <x:c r="A13" s="15" t="str">
        <x:v>Benchmark 1</x:v>
      </x:c>
      <x:c r="B13" s="16" t="str">
        <x:v>Intercom Fin: $0.99/outcome, kiểm tra 09/10/2026</x:v>
      </x:c>
      <x:c r="C13" s="15" t="str">
        <x:v>https://www.intercom.com/pricing ; ví dụ Outcome, không là giá kiosk cùng ngành.</x:v>
      </x:c>
    </x:row>
    <x:row r="14" ht="58" customHeight="1">
      <x:c r="A14" s="15" t="str">
        <x:v>Benchmark 2</x:v>
      </x:c>
      <x:c r="B14" s="16" t="str">
        <x:v>Agentforce: $0.10/action, kiểm tra 09/10/2026</x:v>
      </x:c>
      <x:c r="C14" s="15" t="str">
        <x:v>https://www.salesforce.com/agentforce/pricing/ ; $500/100k credits, 20 credits/action.</x:v>
      </x:c>
    </x:row>
    <x:row r="15" ht="58" customHeight="1">
      <x:c r="A15" s="15" t="str">
        <x:v>Benchmark caveat</x:v>
      </x:c>
      <x:c r="B15" s="16" t="str">
        <x:v>Chưa tìm được hai sản phẩm kiosk cùng job có giá công khai</x:v>
      </x:c>
      <x:c r="C15" s="15" t="str">
        <x:v>Không coi benchmark liên ngành là bằng chứng willingness-to-pay</x:v>
      </x:c>
    </x:row>
    <x:row r="16" ht="58" customHeight="1">
      <x:c r="A16" s="15" t="str">
        <x:v>Quy tắc đối soát</x:v>
      </x:c>
      <x:c r="B16" s="16" t="str">
        <x:v>Mã booking băm + session_id + success/escalate + timestamp</x:v>
      </x:c>
      <x:c r="C16" s="15" t="str">
        <x:v>Không lưu giấy tờ cá nhân trong log phân tích; success do trạng thái workflow, kiểm tra mẫu thủ công.</x:v>
      </x:c>
    </x:row>
    <x:row r="17" ht="58" customHeight="1">
      <x:c r="A17" s="15" t="str">
        <x:v>Không tính phí</x:v>
      </x:c>
      <x:c r="B17" s="16" t="str">
        <x:v>Booking không tìm thấy, lỗi, escalation, retry, phiên trùng</x:v>
      </x:c>
      <x:c r="C17" s="15" t="str">
        <x:v>Escalation bên bán vẫn chịu chi phí theo B; tranh chấp hoàn tất dịch vụ hoàn phí sau đối soát.</x:v>
      </x:c>
    </x:row>
    <x:row r="18" ht="58" customHeight="1">
      <x:c r="A18" s="15" t="str">
        <x:v>SLA/phí nền</x:v>
      </x:c>
      <x:c r="B18" s="16" t="str">
        <x:v>Không phí nền trong pilot; không cam kết SLA 24/7</x:v>
      </x:c>
      <x:c r="C18" s="15" t="str">
        <x:v>Không bán Hybrid khi chưa có phần dịch vụ nền cụ thể. Cam kết rollout cần hợp đồng riêng.</x:v>
      </x:c>
    </x:row>
    <x:row r="19" ht="58" customHeight="1">
      <x:c r="A19" s="15"/>
      <x:c r="B19" s="16"/>
      <x:c r="C19" s="15"/>
    </x:row>
    <x:row r="20" ht="58" customHeight="1">
      <x:c r="A20" s="15"/>
      <x:c r="B20" s="16"/>
      <x:c r="C20" s="15"/>
    </x:row>
    <x:row r="21" ht="58" customHeight="1">
      <x:c r="A21" s="15"/>
      <x:c r="B21" s="16"/>
      <x:c r="C21" s="15"/>
    </x:row>
    <x:row r="22" ht="58" customHeight="1">
      <x:c r="A22" s="15"/>
      <x:c r="B22" s="16"/>
      <x:c r="C22" s="15"/>
    </x:row>
    <x:row r="23" ht="58" customHeight="1">
      <x:c r="A23" s="15"/>
      <x:c r="B23" s="16"/>
      <x:c r="C23" s="15"/>
    </x:row>
    <x:row r="24" ht="58" customHeight="1">
      <x:c r="A24" s="15"/>
      <x:c r="B24" s="16"/>
      <x:c r="C24" s="15"/>
    </x:row>
    <x:row r="25" ht="58" customHeight="1">
      <x:c r="A25" s="15"/>
      <x:c r="B25" s="16"/>
      <x:c r="C25" s="15"/>
    </x:row>
    <x:row r="26" ht="58" customHeight="1">
      <x:c r="A26" s="15"/>
      <x:c r="B26" s="16"/>
      <x:c r="C26" s="15"/>
    </x:row>
    <x:row r="27" ht="58" customHeight="1">
      <x:c r="A27" s="15"/>
      <x:c r="B27" s="16"/>
      <x:c r="C27" s="15"/>
    </x:row>
    <x:row r="28" ht="58" customHeight="1">
      <x:c r="A28" s="15"/>
      <x:c r="B28" s="16"/>
      <x:c r="C28" s="15"/>
    </x:row>
    <x:row r="29" ht="58" customHeight="1">
      <x:c r="A29" s="15"/>
      <x:c r="B29" s="16"/>
      <x:c r="C29" s="15"/>
    </x:row>
    <x:row r="30" ht="58" customHeight="1">
      <x:c r="A30" s="15"/>
      <x:c r="B30" s="16"/>
      <x:c r="C30" s="15"/>
    </x:row>
    <x:row r="31" ht="58" customHeight="1">
      <x:c r="A31" s="15"/>
      <x:c r="B31" s="16"/>
      <x:c r="C31" s="15"/>
    </x:row>
    <x:row r="32" ht="58" customHeight="1">
      <x:c r="A32" s="15"/>
      <x:c r="B32" s="16"/>
      <x:c r="C32" s="15"/>
    </x:row>
    <x:row r="33" ht="58" customHeight="1">
      <x:c r="A33" s="15"/>
      <x:c r="B33" s="16"/>
      <x:c r="C33" s="15"/>
    </x:row>
    <x:row r="34" ht="58" customHeight="1">
      <x:c r="A34" s="15"/>
      <x:c r="B34" s="16"/>
      <x:c r="C34" s="15"/>
    </x:row>
    <x:row r="35" ht="58" customHeight="1">
      <x:c r="A35" s="15"/>
      <x:c r="B35" s="16"/>
      <x:c r="C35" s="15"/>
    </x:row>
    <x:row r="36" ht="58" customHeight="1">
      <x:c r="A36" s="15"/>
      <x:c r="B36" s="16"/>
      <x:c r="C36" s="15"/>
    </x:row>
    <x:row r="37" ht="58" customHeight="1">
      <x:c r="A37" s="15"/>
      <x:c r="B37" s="16"/>
      <x:c r="C37" s="15"/>
    </x:row>
    <x:row r="38" ht="58" customHeight="1">
      <x:c r="A38" s="15"/>
      <x:c r="B38" s="16"/>
      <x:c r="C38" s="15"/>
    </x:row>
    <x:row r="39" ht="58" customHeight="1">
      <x:c r="A39" s="15"/>
      <x:c r="B39" s="16"/>
      <x:c r="C39" s="15"/>
    </x:row>
    <x:row r="40" ht="58" customHeight="1">
      <x:c r="A40" s="15"/>
      <x:c r="B40" s="16"/>
      <x:c r="C40" s="15"/>
    </x:row>
    <x:row r="41" ht="58" customHeight="1">
      <x:c r="A41" s="15"/>
      <x:c r="B41" s="16"/>
      <x:c r="C41" s="15"/>
    </x:row>
    <x:row r="42" ht="58" customHeight="1">
      <x:c r="A42" s="15"/>
      <x:c r="B42" s="16"/>
      <x:c r="C42" s="15"/>
    </x:row>
    <x:row r="43" ht="58" customHeight="1">
      <x:c r="A43" s="15"/>
      <x:c r="B43" s="16"/>
      <x:c r="C43" s="15"/>
    </x:row>
    <x:row r="44" ht="58" customHeight="1">
      <x:c r="A44" s="15"/>
      <x:c r="B44" s="16"/>
      <x:c r="C44" s="15"/>
    </x:row>
    <x:row r="45" ht="58" customHeight="1">
      <x:c r="A45" s="15"/>
      <x:c r="B45" s="16"/>
      <x:c r="C45" s="15"/>
    </x:row>
    <x:row r="46" ht="58" customHeight="1">
      <x:c r="A46" s="15"/>
      <x:c r="B46" s="16"/>
      <x:c r="C46" s="15"/>
    </x:row>
    <x:row r="47" ht="58" customHeight="1">
      <x:c r="A47" s="15"/>
      <x:c r="B47" s="16"/>
      <x:c r="C47" s="15"/>
    </x:row>
    <x:row r="48" ht="58" customHeight="1">
      <x:c r="A48" s="15"/>
      <x:c r="B48" s="16"/>
      <x:c r="C48" s="15"/>
    </x:row>
    <x:row r="49" ht="58" customHeight="1">
      <x:c r="A49" s="15"/>
      <x:c r="B49" s="16"/>
      <x:c r="C49" s="15"/>
    </x:row>
    <x:row r="50" ht="58" customHeight="1">
      <x:c r="A50" s="15"/>
      <x:c r="B50" s="16"/>
      <x:c r="C50" s="15"/>
    </x:row>
    <x:row r="51" ht="58" customHeight="1">
      <x:c r="A51" s="15"/>
      <x:c r="B51" s="16"/>
      <x:c r="C51" s="15"/>
    </x:row>
    <x:row r="52" ht="58" customHeight="1">
      <x:c r="A52" s="15"/>
      <x:c r="B52" s="16"/>
      <x:c r="C52" s="15"/>
    </x:row>
    <x:row r="53" ht="58" customHeight="1">
      <x:c r="A53" s="15"/>
      <x:c r="B53" s="16"/>
      <x:c r="C53" s="15"/>
    </x:row>
    <x:row r="54" ht="58" customHeight="1">
      <x:c r="A54" s="15"/>
      <x:c r="B54" s="16"/>
      <x:c r="C54" s="15"/>
    </x:row>
    <x:row r="55" ht="58" customHeight="1">
      <x:c r="A55" s="15"/>
      <x:c r="B55" s="16"/>
      <x:c r="C55" s="1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72" hidden="0" customWidth="1"/>
    <x:col min="3" max="3" width="85" hidden="0" customWidth="1"/>
  </x:cols>
  <x:sheetData>
    <x:row r="1">
      <x:c r="A1" s="14" t="str">
        <x:v>4_Channel_Fit</x:v>
      </x:c>
      <x:c r="B1" s="14" t="str">
        <x:v>Giá trị / Công thức</x:v>
      </x:c>
      <x:c r="C1" s="14" t="str">
        <x:v>Ghi chú / bằng chứng</x:v>
      </x:c>
    </x:row>
    <x:row r="2" ht="58" customHeight="1">
      <x:c r="A2" s="15" t="str">
        <x:v>Segment</x:v>
      </x:c>
      <x:c r="B2" s="16" t="str">
        <x:v>SMB khách sạn độc lập</x:v>
      </x:c>
      <x:c r="C2" s="15" t="str">
        <x:v>Pilot mục tiêu 20–80 phòng, chưa xác thực</x:v>
      </x:c>
    </x:row>
    <x:row r="3" ht="58" customHeight="1">
      <x:c r="A3" s="15" t="str">
        <x:v>Channel 90 ngày</x:v>
      </x:c>
      <x:c r="B3" s="16" t="str">
        <x:v>Sales-Led – founder-led outbound</x:v>
      </x:c>
      <x:c r="C3" s="15" t="str">
        <x:v>1 kênh duy nhất; không tuyển AE ở giai đoạn pilot</x:v>
      </x:c>
    </x:row>
    <x:row r="4" ht="58" customHeight="1">
      <x:c r="A4" s="15" t="str">
        <x:v>ARPU USD/tháng</x:v>
      </x:c>
      <x:c r="B4" s="37" t="n">
        <x:f>'2_Pricing'!B10</x:f>
        <x:v>1305.6</x:v>
      </x:c>
      <x:c r="C4" s="15" t="str">
        <x:v>Giá/phiên × completed sessions; chưa phải ARPU quan sát thực tế.</x:v>
      </x:c>
    </x:row>
    <x:row r="5" ht="58" customHeight="1">
      <x:c r="A5" s="15" t="str">
        <x:v>GM</x:v>
      </x:c>
      <x:c r="B5" s="42" t="n">
        <x:f>'2_Pricing'!B5</x:f>
        <x:v>0.6707663941176472</x:v>
      </x:c>
      <x:c r="C5" s="15" t="str">
        <x:v>Link tab pricing</x:v>
      </x:c>
    </x:row>
    <x:row r="6" ht="58" customHeight="1">
      <x:c r="A6" s="15" t="str">
        <x:v>Payback months</x:v>
      </x:c>
      <x:c r="B6" s="35" t="n">
        <x:v>12</x:v>
      </x:c>
      <x:c r="C6" s="15" t="str">
        <x:v>Giới hạn nội bộ theo lab cho SMB; không khẳng định là benchmark hiện hành đã xác minh.</x:v>
      </x:c>
    </x:row>
    <x:row r="7" ht="58" customHeight="1">
      <x:c r="A7" s="15" t="str">
        <x:v>CAC budget USD</x:v>
      </x:c>
      <x:c r="B7" s="38" t="n">
        <x:f>B4*B5*B6</x:f>
        <x:v>10509.03124992</x:v>
      </x:c>
      <x:c r="C7" s="15" t="str">
        <x:v>ARPU × GM_lab đủ 5 khoản × payback cho phép; giới hạn acquisition, không phải chi phí đã chi.</x:v>
      </x:c>
    </x:row>
    <x:row r="8" ht="58" customHeight="1">
      <x:c r="A8" s="15" t="str">
        <x:v>ACV USD</x:v>
      </x:c>
      <x:c r="B8" s="38" t="n">
        <x:f>B4*12</x:f>
        <x:v>15667.199999999999</x:v>
      </x:c>
      <x:c r="C8" s="15" t="str">
        <x:v>Annual contract value</x:v>
      </x:c>
    </x:row>
    <x:row r="9" ht="58" customHeight="1">
      <x:c r="A9" s="15" t="str">
        <x:v>AE quota USD/năm</x:v>
      </x:c>
      <x:c r="B9" s="39" t="n">
        <x:v>500000</x:v>
      </x:c>
      <x:c r="C9" s="15" t="str">
        <x:v>Benchmark minh họa Tunguz 2016, KHÔNG phải quota Việt Nam</x:v>
      </x:c>
    </x:row>
    <x:row r="10" ht="58" customHeight="1">
      <x:c r="A10" s="15" t="str">
        <x:v>Ngày làm việc/năm</x:v>
      </x:c>
      <x:c r="B10" s="35" t="n">
        <x:v>240</x:v>
      </x:c>
      <x:c r="C10" s="15" t="str">
        <x:v>Giả định</x:v>
      </x:c>
    </x:row>
    <x:row r="11" ht="58" customHeight="1">
      <x:c r="A11" s="15" t="str">
        <x:v>Deals/AE/ngày</x:v>
      </x:c>
      <x:c r="B11" s="40" t="n">
        <x:f>B9/B8/B10</x:f>
        <x:v>0.13297419662309368</x:v>
      </x:c>
      <x:c r="C11" s="15" t="str">
        <x:v>Kiểm tra feasibility nếu dùng AE chuyên nghiệp</x:v>
      </x:c>
    </x:row>
    <x:row r="12" ht="58" customHeight="1">
      <x:c r="A12" s="15" t="str">
        <x:v>Cost/opportunity đầy đủ</x:v>
      </x:c>
      <x:c r="B12" s="38" t="n">
        <x:f>B16/B17</x:f>
        <x:v>140</x:v>
      </x:c>
      <x:c r="C12" s="15" t="str">
        <x:v>Chi phí founder-led / số cơ hội đủ điều kiện; thay benchmark khác phân khúc.</x:v>
      </x:c>
    </x:row>
    <x:row r="13" ht="58" customHeight="1">
      <x:c r="A13" s="15" t="str">
        <x:v>Win rate mục tiêu</x:v>
      </x:c>
      <x:c r="B13" s="41" t="n">
        <x:f>B18/B17</x:f>
        <x:v>0.16666666666666666</x:v>
      </x:c>
      <x:c r="C13" s="15" t="str">
        <x:v>Một khách trả phí / 6 cơ hội trong 90 ngày; mục tiêu, chưa có pipeline thật.</x:v>
      </x:c>
    </x:row>
    <x:row r="14" ht="58" customHeight="1">
      <x:c r="A14" s="15" t="str">
        <x:v>CAC đầy đủ</x:v>
      </x:c>
      <x:c r="B14" s="38" t="n">
        <x:f>B12/B13</x:f>
        <x:v>840</x:v>
      </x:c>
      <x:c r="C14" s="15" t="str">
        <x:v>Phải tính cả thời gian founder, demo, đi lại và công cụ; chưa phải CAC thực tế.</x:v>
      </x:c>
    </x:row>
    <x:row r="15" ht="58" customHeight="1">
      <x:c r="A15" s="15" t="str">
        <x:v>CAC/ngân sách</x:v>
      </x:c>
      <x:c r="B15" s="40" t="n">
        <x:f>B14/B7</x:f>
        <x:v>0.07993124961031917</x:v>
      </x:c>
      <x:c r="C15" s="15" t="str">
        <x:v>≤1 là cần nhưng chưa đủ; dùng dữ liệu pilot để xác minh.</x:v>
      </x:c>
    </x:row>
    <x:row r="16" ht="58" customHeight="1">
      <x:c r="A16" s="15" t="str">
        <x:v>Ngân sách outbound 90 ngày</x:v>
      </x:c>
      <x:c r="B16" s="38" t="n">
        <x:f>B21*B22+B23+B24</x:f>
        <x:v>840</x:v>
      </x:c>
      <x:c r="C16" s="15" t="str">
        <x:v>Chi phí acquisition, không trùng overhead vận hành tab 1 hoặc setup dịch vụ.</x:v>
      </x:c>
    </x:row>
    <x:row r="17" ht="58" customHeight="1">
      <x:c r="A17" s="15" t="str">
        <x:v>Cơ hội đủ điều kiện</x:v>
      </x:c>
      <x:c r="B17" s="35" t="n">
        <x:v>6</x:v>
      </x:c>
      <x:c r="C17" s="15" t="str">
        <x:v>Mục tiêu 90 ngày: có người quyết định, volume phù hợp, đồng ý bàn pilot.</x:v>
      </x:c>
    </x:row>
    <x:row r="18" ht="58" customHeight="1">
      <x:c r="A18" s="15" t="str">
        <x:v>Khách trả phí mục tiêu</x:v>
      </x:c>
      <x:c r="B18" s="35" t="n">
        <x:v>1</x:v>
      </x:c>
      <x:c r="C18" s="15" t="str">
        <x:v>Mục tiêu ngày 90; LOI không tính paid win. Nếu 0 khách, CAC chưa xác định, không ghi 0.</x:v>
      </x:c>
    </x:row>
    <x:row r="19" ht="58" customHeight="1">
      <x:c r="A19" s="15" t="str">
        <x:v>CAC đầy đủ từ budget</x:v>
      </x:c>
      <x:c r="B19" s="38" t="n">
        <x:f>IF(B18=0,"Chưa xác định",B16/B18)</x:f>
        <x:v>840</x:v>
      </x:c>
      <x:c r="C19" s="15" t="str">
        <x:v>Đối chiếu B14; không chỉ dùng $120 tiền mặt.</x:v>
      </x:c>
    </x:row>
    <x:row r="20" ht="58" customHeight="1">
      <x:c r="A20" s="15" t="str">
        <x:v>Channel decision</x:v>
      </x:c>
      <x:c r="B20" s="16" t="str">
        <x:v>Chỉ founder-led Sales-Led trong 90 ngày</x:v>
      </x:c>
      <x:c r="C20" s="15" t="str">
        <x:v>CAC theo kế hoạch trong ngân sách; không thuê AE vì chưa có win rate thực và volume trả phí.</x:v>
      </x:c>
    </x:row>
    <x:row r="21" ht="58" customHeight="1">
      <x:c r="A21" s="15" t="str">
        <x:v>Giờ founder acquisition</x:v>
      </x:c>
      <x:c r="B21" s="35" t="n">
        <x:v>60</x:v>
      </x:c>
      <x:c r="C21" s="15" t="str">
        <x:v>Giả định 20 giờ/tháng, chỉ sales/discovery, không tính công triển khai.</x:v>
      </x:c>
    </x:row>
    <x:row r="22" ht="58" customHeight="1">
      <x:c r="A22" s="15" t="str">
        <x:v>Giá giờ founder USD</x:v>
      </x:c>
      <x:c r="B22" s="39" t="n">
        <x:v>10</x:v>
      </x:c>
      <x:c r="C22" s="15" t="str">
        <x:v>Chi phí cơ hội giả định; cần time tracking và chi phí đầy đủ.</x:v>
      </x:c>
    </x:row>
    <x:row r="23" ht="58" customHeight="1">
      <x:c r="A23" s="15" t="str">
        <x:v>Đi lại + demo USD</x:v>
      </x:c>
      <x:c r="B23" s="39" t="n">
        <x:v>180</x:v>
      </x:c>
      <x:c r="C23" s="15" t="str">
        <x:v>Giả định $60/tháng; chưa có hóa đơn.</x:v>
      </x:c>
    </x:row>
    <x:row r="24" ht="58" customHeight="1">
      <x:c r="A24" s="15" t="str">
        <x:v>Công cụ outbound USD</x:v>
      </x:c>
      <x:c r="B24" s="39" t="n">
        <x:v>60</x:v>
      </x:c>
      <x:c r="C24" s="15" t="str">
        <x:v>Giả định $20/tháng.</x:v>
      </x:c>
    </x:row>
    <x:row r="25" ht="58" customHeight="1">
      <x:c r="A25" s="15" t="str">
        <x:v>CAC payback kế hoạch</x:v>
      </x:c>
      <x:c r="B25" s="40" t="n">
        <x:f>B14/(B4*B5)</x:f>
        <x:v>0.95917499532383</x:v>
      </x:c>
      <x:c r="C25" s="15" t="str">
        <x:v>Tháng, biên sau 5 khoản; so với B6.</x:v>
      </x:c>
    </x:row>
    <x:row r="26" ht="58" customHeight="1">
      <x:c r="A26" s="15" t="str">
        <x:v>Deal/AE/ngày diễn giải</x:v>
      </x:c>
      <x:c r="B26" s="16" t="str">
        <x:v>Khoảng 1 deal mỗi 4 ngày làm việc ở quota tham chiếu</x:v>
      </x:c>
      <x:c r="C26" s="15" t="str">
        <x:v>Chỉ kiểm tra tải lý thuyết, không là năng suất thực; founder không có quota $500k.</x:v>
      </x:c>
    </x:row>
    <x:row r="27" ht="58" customHeight="1">
      <x:c r="A27" s="15" t="str">
        <x:v>Tiếp cận 90 ngày</x:v>
      </x:c>
      <x:c r="B27" s="35" t="n">
        <x:v>30</x:v>
      </x:c>
      <x:c r="C27" s="15" t="str">
        <x:v>Mục tiêu 30 cơ sở, một kênh outbound; theo dõi 30 → 6 qualified → 1 paid.</x:v>
      </x:c>
    </x:row>
    <x:row r="28" ht="58" customHeight="1">
      <x:c r="A28" s="15" t="str">
        <x:v>CPO tối đa chấp nhận</x:v>
      </x:c>
      <x:c r="B28" s="38" t="n">
        <x:f>B7*B13</x:f>
        <x:v>1751.50520832</x:v>
      </x:c>
      <x:c r="C28" s="15" t="str">
        <x:v>Ngân sách CAC × win rate; nếu CPO đo vượt mức này, không scale.</x:v>
      </x:c>
    </x:row>
    <x:row r="29" ht="58" customHeight="1">
      <x:c r="A29" s="15" t="str">
        <x:v>Go/no-go</x:v>
      </x:c>
      <x:c r="B29" s="16" t="str">
        <x:v>0 paid win ngày 90: chưa chứng minh kênh</x:v>
      </x:c>
      <x:c r="C29" s="15" t="str">
        <x:v>Chỉ mở rộng nếu CAC đo đủ chi phí ≤B7, payback ≤B6, có paid win và eval đạt.</x:v>
      </x:c>
    </x:row>
    <x:row r="30" ht="58" customHeight="1">
      <x:c r="A30" s="15"/>
      <x:c r="B30" s="16"/>
      <x:c r="C30" s="15"/>
    </x:row>
    <x:row r="31" ht="58" customHeight="1">
      <x:c r="A31" s="15"/>
      <x:c r="B31" s="16"/>
      <x:c r="C31" s="15"/>
    </x:row>
    <x:row r="32" ht="58" customHeight="1">
      <x:c r="A32" s="15"/>
      <x:c r="B32" s="16"/>
      <x:c r="C32" s="15"/>
    </x:row>
    <x:row r="33" ht="58" customHeight="1">
      <x:c r="A33" s="15"/>
      <x:c r="B33" s="16"/>
      <x:c r="C33" s="15"/>
    </x:row>
    <x:row r="34" ht="58" customHeight="1">
      <x:c r="A34" s="15"/>
      <x:c r="B34" s="16"/>
      <x:c r="C34" s="15"/>
    </x:row>
    <x:row r="35" ht="58" customHeight="1">
      <x:c r="A35" s="15"/>
      <x:c r="B35" s="16"/>
      <x:c r="C35" s="15"/>
    </x:row>
    <x:row r="36" ht="58" customHeight="1">
      <x:c r="A36" s="15"/>
      <x:c r="B36" s="16"/>
      <x:c r="C36" s="15"/>
    </x:row>
    <x:row r="37" ht="58" customHeight="1">
      <x:c r="A37" s="15"/>
      <x:c r="B37" s="16"/>
      <x:c r="C37" s="15"/>
    </x:row>
    <x:row r="38" ht="58" customHeight="1">
      <x:c r="A38" s="15"/>
      <x:c r="B38" s="16"/>
      <x:c r="C38" s="15"/>
    </x:row>
    <x:row r="39" ht="58" customHeight="1">
      <x:c r="A39" s="15"/>
      <x:c r="B39" s="16"/>
      <x:c r="C39" s="15"/>
    </x:row>
    <x:row r="40" ht="58" customHeight="1">
      <x:c r="A40" s="15"/>
      <x:c r="B40" s="16"/>
      <x:c r="C40" s="15"/>
    </x:row>
    <x:row r="41" ht="58" customHeight="1">
      <x:c r="A41" s="15"/>
      <x:c r="B41" s="16"/>
      <x:c r="C41" s="15"/>
    </x:row>
    <x:row r="42" ht="58" customHeight="1">
      <x:c r="A42" s="15"/>
      <x:c r="B42" s="16"/>
      <x:c r="C42" s="15"/>
    </x:row>
    <x:row r="43" ht="58" customHeight="1">
      <x:c r="A43" s="15"/>
      <x:c r="B43" s="16"/>
      <x:c r="C43" s="15"/>
    </x:row>
    <x:row r="44" ht="58" customHeight="1">
      <x:c r="A44" s="15"/>
      <x:c r="B44" s="16"/>
      <x:c r="C44" s="15"/>
    </x:row>
    <x:row r="45" ht="58" customHeight="1">
      <x:c r="A45" s="15"/>
      <x:c r="B45" s="16"/>
      <x:c r="C45" s="15"/>
    </x:row>
    <x:row r="46" ht="58" customHeight="1">
      <x:c r="A46" s="15"/>
      <x:c r="B46" s="16"/>
      <x:c r="C46" s="15"/>
    </x:row>
    <x:row r="47" ht="58" customHeight="1">
      <x:c r="A47" s="15"/>
      <x:c r="B47" s="16"/>
      <x:c r="C47" s="15"/>
    </x:row>
    <x:row r="48" ht="58" customHeight="1">
      <x:c r="A48" s="15"/>
      <x:c r="B48" s="16"/>
      <x:c r="C48" s="15"/>
    </x:row>
    <x:row r="49" ht="58" customHeight="1">
      <x:c r="A49" s="15"/>
      <x:c r="B49" s="16"/>
      <x:c r="C49" s="15"/>
    </x:row>
    <x:row r="50" ht="58" customHeight="1">
      <x:c r="A50" s="15"/>
      <x:c r="B50" s="16"/>
      <x:c r="C50" s="15"/>
    </x:row>
    <x:row r="51" ht="58" customHeight="1">
      <x:c r="A51" s="15"/>
      <x:c r="B51" s="16"/>
      <x:c r="C51" s="15"/>
    </x:row>
    <x:row r="52" ht="58" customHeight="1">
      <x:c r="A52" s="15"/>
      <x:c r="B52" s="16"/>
      <x:c r="C52" s="15"/>
    </x:row>
    <x:row r="53" ht="58" customHeight="1">
      <x:c r="A53" s="15"/>
      <x:c r="B53" s="16"/>
      <x:c r="C53" s="15"/>
    </x:row>
    <x:row r="54" ht="58" customHeight="1">
      <x:c r="A54" s="15"/>
      <x:c r="B54" s="16"/>
      <x:c r="C54" s="15"/>
    </x:row>
    <x:row r="55" ht="58" customHeight="1">
      <x:c r="A55" s="15"/>
      <x:c r="B55" s="16"/>
      <x:c r="C55" s="1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72" hidden="0" customWidth="1"/>
    <x:col min="3" max="3" width="85" hidden="0" customWidth="1"/>
  </x:cols>
  <x:sheetData>
    <x:row r="1">
      <x:c r="A1" s="14" t="str">
        <x:v>5_90Day_Plan</x:v>
      </x:c>
      <x:c r="B1" s="14" t="str">
        <x:v>Giá trị / Công thức</x:v>
      </x:c>
      <x:c r="C1" s="14" t="str">
        <x:v>Ghi chú / bằng chứng</x:v>
      </x:c>
    </x:row>
    <x:row r="2" ht="58" customHeight="1">
      <x:c r="A2" s="15" t="str">
        <x:v>Pain moment</x:v>
      </x:c>
      <x:c r="B2" s="16" t="str">
        <x:v>14:00, khách đến check-in, lễ tân tra mã booking trên PMS và phải giải thích lại quy trình</x:v>
      </x:c>
      <x:c r="C2" s="15" t="str">
        <x:v>Giờ là giả thuyết cần xác minh qua phỏng vấn</x:v>
      </x:c>
    </x:row>
    <x:row r="3" ht="58" customHeight="1">
      <x:c r="A3" s="15" t="str">
        <x:v>Integration surface</x:v>
      </x:c>
      <x:c r="B3" s="16" t="str">
        <x:v>Kiosk tại quầy + endpoint tra booking của PMS qua adapter</x:v>
      </x:c>
      <x:c r="C3" s="15" t="str">
        <x:v>PMS cụ thể chưa được chọn. Linh xác định tên PMS/API/auth tại discovery, không tuyên bố đã tích hợp.</x:v>
      </x:c>
    </x:row>
    <x:row r="4" ht="58" customHeight="1">
      <x:c r="A4" s="15" t="str">
        <x:v>09/10–07/11 | Learning</x:v>
      </x:c>
      <x:c r="B4" s="16" t="str">
        <x:v>Nguyễn Thùy Linh: 8 phỏng vấn, 20 quan sát, 10 cơ sở outbound, 2 demo</x:v>
      </x:c>
      <x:c r="C4" s="15" t="str">
        <x:v>Lấy PMS/volume/payroll; 08/11 hoàn tất eval offline 100 ca tổng hợp/ẩn danh, không gọi là pilot thật.</x:v>
      </x:c>
    </x:row>
    <x:row r="5" ht="58" customHeight="1">
      <x:c r="A5" s="15" t="str">
        <x:v>08/11–07/12 | Pilot</x:v>
      </x:c>
      <x:c r="B5" s="16" t="str">
        <x:v>Nguyễn Thùy Linh chịu trách nhiệm: 1 pilot, ≥100 attempts, thêm 10 cơ sở outbound</x:v>
      </x:c>
      <x:c r="C5" s="15" t="str">
        <x:v>Gán kỹ sư trước 08/11; nếu chưa có kỹ sư/API hoặc khách đồng ý thì hoãn pilot, không bịa kết quả.</x:v>
      </x:c>
    </x:row>
    <x:row r="6" ht="58" customHeight="1">
      <x:c r="A6" s="15" t="str">
        <x:v>08/12–06/01/2027 | Giá/kênh</x:v>
      </x:c>
      <x:c r="B6" s="16" t="str">
        <x:v>Nguyễn Thùy Linh: thêm 10 cơ sở; thử 2 mức giá với 5 buyer; mục tiêu 1 paid win</x:v>
      </x:c>
      <x:c r="C6" s="15" t="str">
        <x:v>Tổng 30 cơ sở, 6 qualified; mức A giá sàn làm tròn, mức B +$0.10. LOI báo riêng, không tính paid win.</x:v>
      </x:c>
    </x:row>
    <x:row r="7" ht="58" customHeight="1">
      <x:c r="A7" s="15" t="str">
        <x:v>Sau 90 ngày</x:v>
      </x:c>
      <x:c r="B7" s="16" t="str">
        <x:v>Chỉ scale khi eval đạt, 1 khách trả phí và CAC đo trong ngân sách</x:v>
      </x:c>
      <x:c r="C7" s="15" t="str">
        <x:v>Nếu chưa đạt, tiếp tục học hoặc sửa pricing/scope; không tuyển AE trước chứng minh.</x:v>
      </x:c>
    </x:row>
    <x:row r="8" ht="58" customHeight="1">
      <x:c r="A8" s="15" t="str">
        <x:v>Eval Results</x:v>
      </x:c>
      <x:c r="B8" s="16" t="str">
        <x:v>Chưa có; Nguyễn Thùy Linh; offline 08/11/2026, pilot 08/12/2026</x:v>
      </x:c>
      <x:c r="C8" s="15" t="str">
        <x:v>≥100 ca; success/escalate/retry, lỗi nghiêm trọng, accuracy booking, containment và khoảng tin cậy; so ngưỡng tab 2.</x:v>
      </x:c>
    </x:row>
    <x:row r="9" ht="58" customHeight="1">
      <x:c r="A9" s="15" t="str">
        <x:v>Procurement Q&amp;A</x:v>
      </x:c>
      <x:c r="B9" s="16" t="str">
        <x:v>Chưa có; Nguyễn Thùy Linh; 07/11/2026, trước pilot</x:v>
      </x:c>
      <x:c r="C9" s="15" t="str">
        <x:v>Bản trả lời có nguồn: training/retention, quyền truy cập, xóa/xuất, PMS credentials, fallback; câu chưa rõ có owner và deadline.</x:v>
      </x:c>
    </x:row>
    <x:row r="10" ht="58" customHeight="1">
      <x:c r="A10" s="15" t="str">
        <x:v>Pilot Report</x:v>
      </x:c>
      <x:c r="B10" s="16" t="str">
        <x:v>Chưa có; Nguyễn Thùy Linh; 08/12/2026</x:v>
      </x:c>
      <x:c r="C10" s="15" t="str">
        <x:v>4 tuần pilot: attempts/completed, phút trước/sau, COGS thực, lỗi, consent, ROI và giới hạn; không suy từ giả định.</x:v>
      </x:c>
    </x:row>
    <x:row r="11" ht="58" customHeight="1">
      <x:c r="A11" s="15" t="str">
        <x:v>AI critique 1</x:v>
      </x:c>
      <x:c r="B11" s="16" t="str">
        <x:v>ACCEPT: đủ overhead và tách ngưỡng hòa vốn/GM60</x:v>
      </x:c>
      <x:c r="C11" s="15" t="str">
        <x:v>Xem AI_Critique.md ở repo; phản biện đã thực hiện trong lượt sửa 09/10/2026.</x:v>
      </x:c>
    </x:row>
    <x:row r="12" ht="58" customHeight="1">
      <x:c r="A12" s="15" t="str">
        <x:v>AI critique 2</x:v>
      </x:c>
      <x:c r="B12" s="16" t="str">
        <x:v>ACCEPT: thu theo phiên dịch vụ hẹp, không tuyên bố outcome</x:v>
      </x:c>
      <x:c r="C12" s="15" t="str">
        <x:v>AI_Critique.md: prompt, phản hồi và quyết định; §4.7 gốc không có trong đề đã cung cấp nên không gán số prompt giả.</x:v>
      </x:c>
    </x:row>
    <x:row r="13" ht="58" customHeight="1">
      <x:c r="A13" s="15" t="str">
        <x:v>AI critique 3</x:v>
      </x:c>
      <x:c r="B13" s="16" t="str">
        <x:v>ACCEPT: CAC gồm giờ founder và paid win</x:v>
      </x:c>
      <x:c r="C13" s="15" t="str">
        <x:v>AI_Critique.md; bác bỏ dùng benchmark doanh nghiệp lớn làm CAC địa phương.</x:v>
      </x:c>
    </x:row>
    <x:row r="14" ht="58" customHeight="1">
      <x:c r="A14" s="15" t="str">
        <x:v>Xác nhận quyết định</x:v>
      </x:c>
      <x:c r="B14" s="16" t="str">
        <x:v>Tôi chọn Usage theo phiên hướng dẫn hoàn tất, giá $1,70 và founder-led Sales-Led trong 90 ngày.</x:v>
      </x:c>
      <x:c r="C14" s="15" t="str">
        <x:v>Tôi hiểu Cost/Job gồm đủ 5 khoản và chia cho job hoàn thành. Containment, phút tiết kiệm và conversion là giả định cần pilot xác minh.</x:v>
      </x:c>
    </x:row>
    <x:row r="15" ht="58" customHeight="1">
      <x:c r="A15" s="15" t="str">
        <x:v>Lý do xác nhận</x:v>
      </x:c>
      <x:c r="B15" s="16" t="str">
        <x:v>Kiosk dùng chung nên seat không phản ánh tải; chưa đủ attribution để bán Outcome.</x:v>
      </x:c>
      <x:c r="C15" s="15" t="str">
        <x:v>Giá $1,70 cao hơn sàn 3× và thấp hơn trần giá trị giả định. Một kênh giúp đội nhỏ tập trung học trong 90 ngày.</x:v>
      </x:c>
    </x:row>
    <x:row r="16" ht="58" customHeight="1">
      <x:c r="A16" s="15" t="str">
        <x:v>Test người lạ 2 phút</x:v>
      </x:c>
      <x:c r="B16" s="16" t="str">
        <x:v>KẾT QUẢ GIẢ ĐỊNH/MÔ PHỎNG: đạt, 3 câu hỏi làm rõ</x:v>
      </x:c>
      <x:c r="C16" s="15" t="str">
        <x:v>Kịch bản do AI mô phỏng theo yêu cầu người nộp ngày 09/10/2026; không phải bằng chứng đã phỏng vấn một người thật.</x:v>
      </x:c>
    </x:row>
    <x:row r="17" ht="58" customHeight="1">
      <x:c r="A17" s="15" t="str">
        <x:v>Người đọc giả định</x:v>
      </x:c>
      <x:c r="B17" s="16" t="str">
        <x:v>Một sinh viên cùng lớp chưa biết P-028; chỉ đọc One-Pager trong 2 phút.</x:v>
      </x:c>
      <x:c r="C17" s="15" t="str">
        <x:v>Không giải thích trước. Sau 2 phút, yêu cầu kể lại sản phẩm, khách hàng, đơn vị tính giá, biên và kênh.</x:v>
      </x:c>
    </x:row>
    <x:row r="18" ht="58" customHeight="1">
      <x:c r="A18" s="15" t="str">
        <x:v>Kết quả kể lại giả định</x:v>
      </x:c>
      <x:c r="B18" s="16" t="str">
        <x:v>Kiosk hướng dẫn check-in cho khách sạn 20–80 phòng; $1,70/phiên hoàn tất; Cost/Job $0,5597; GM 67,08%; bán founder-led.</x:v>
      </x:c>
      <x:c r="C18" s="15" t="str">
        <x:v>Người đọc giả định nêu đúng 5 ý chính mà không xem Excel.</x:v>
      </x:c>
    </x:row>
    <x:row r="19" ht="58" customHeight="1">
      <x:c r="A19" s="15" t="str">
        <x:v>Ba câu hỏi giả định</x:v>
      </x:c>
      <x:c r="B19" s="16" t="str">
        <x:v>1) PMS nào? 2) 18 phút tiết kiệm lấy từ đâu? 3) Nếu containment dưới 73,50% thì sao?</x:v>
      </x:c>
      <x:c r="C19" s="15" t="str">
        <x:v>Trả lời: PMS chọn tại discovery; 18 phút đo time-motion pilot; dưới ngưỡng thì không scale, tăng giá hoặc giảm chi phí/escalation.</x:v>
      </x:c>
    </x:row>
    <x:row r="20" ht="58" customHeight="1">
      <x:c r="A20" s="15" t="str">
        <x:v>Kết luận test giả định</x:v>
      </x:c>
      <x:c r="B20" s="16" t="str">
        <x:v>Đạt mô phỏng vì có đúng 3 câu hỏi và không hỏi lại về sản phẩm, khách hàng, giá, lợi nhuận hay kênh.</x:v>
      </x:c>
      <x:c r="C20" s="15" t="str">
        <x:v>Muốn gọi là test người lạ thực tế, Nguyễn Thùy Linh phải thay các dòng 16–20 bằng kết quả của một người thật.</x:v>
      </x:c>
    </x:row>
    <x:row r="21" ht="58" customHeight="1">
      <x:c r="A21" s="15" t="str">
        <x:v>Risk gate</x:v>
      </x:c>
      <x:c r="B21" s="16" t="str">
        <x:v>Containment, phút tiết kiệm và CAC phải được đo</x:v>
      </x:c>
      <x:c r="C21" s="15" t="str">
        <x:v>So ngưỡng 2_Pricing!B13/B30, 4_Channel_Fit!B7/B28; nếu fail thì không scale.</x:v>
      </x:c>
    </x:row>
    <x:row r="22" ht="58" customHeight="1">
      <x:c r="A22" s="15"/>
      <x:c r="B22" s="16"/>
      <x:c r="C22" s="15"/>
    </x:row>
    <x:row r="23" ht="58" customHeight="1">
      <x:c r="A23" s="15"/>
      <x:c r="B23" s="16"/>
      <x:c r="C23" s="15"/>
    </x:row>
    <x:row r="24" ht="58" customHeight="1">
      <x:c r="A24" s="15"/>
      <x:c r="B24" s="16"/>
      <x:c r="C24" s="15"/>
    </x:row>
    <x:row r="25" ht="58" customHeight="1">
      <x:c r="A25" s="15"/>
      <x:c r="B25" s="16"/>
      <x:c r="C25" s="15"/>
    </x:row>
    <x:row r="26" ht="58" customHeight="1">
      <x:c r="A26" s="15"/>
      <x:c r="B26" s="16"/>
      <x:c r="C26" s="15"/>
    </x:row>
    <x:row r="27" ht="58" customHeight="1">
      <x:c r="A27" s="15"/>
      <x:c r="B27" s="16"/>
      <x:c r="C27" s="15"/>
    </x:row>
    <x:row r="28" ht="58" customHeight="1">
      <x:c r="A28" s="15"/>
      <x:c r="B28" s="16"/>
      <x:c r="C28" s="15"/>
    </x:row>
    <x:row r="29" ht="58" customHeight="1">
      <x:c r="A29" s="15"/>
      <x:c r="B29" s="16"/>
      <x:c r="C29" s="15"/>
    </x:row>
    <x:row r="30" ht="58" customHeight="1">
      <x:c r="A30" s="15"/>
      <x:c r="B30" s="16"/>
      <x:c r="C30" s="15"/>
    </x:row>
    <x:row r="31" ht="58" customHeight="1">
      <x:c r="A31" s="15"/>
      <x:c r="B31" s="16"/>
      <x:c r="C31" s="15"/>
    </x:row>
    <x:row r="32" ht="58" customHeight="1">
      <x:c r="A32" s="15"/>
      <x:c r="B32" s="16"/>
      <x:c r="C32" s="15"/>
    </x:row>
    <x:row r="33" ht="58" customHeight="1">
      <x:c r="A33" s="15"/>
      <x:c r="B33" s="16"/>
      <x:c r="C33" s="15"/>
    </x:row>
    <x:row r="34" ht="58" customHeight="1">
      <x:c r="A34" s="15"/>
      <x:c r="B34" s="16"/>
      <x:c r="C34" s="15"/>
    </x:row>
    <x:row r="35" ht="58" customHeight="1">
      <x:c r="A35" s="15"/>
      <x:c r="B35" s="16"/>
      <x:c r="C35" s="15"/>
    </x:row>
    <x:row r="36" ht="58" customHeight="1">
      <x:c r="A36" s="15"/>
      <x:c r="B36" s="16"/>
      <x:c r="C36" s="15"/>
    </x:row>
    <x:row r="37" ht="58" customHeight="1">
      <x:c r="A37" s="15"/>
      <x:c r="B37" s="16"/>
      <x:c r="C37" s="15"/>
    </x:row>
    <x:row r="38" ht="58" customHeight="1">
      <x:c r="A38" s="15"/>
      <x:c r="B38" s="16"/>
      <x:c r="C38" s="15"/>
    </x:row>
    <x:row r="39" ht="58" customHeight="1">
      <x:c r="A39" s="15"/>
      <x:c r="B39" s="16"/>
      <x:c r="C39" s="15"/>
    </x:row>
    <x:row r="40" ht="58" customHeight="1">
      <x:c r="A40" s="15"/>
      <x:c r="B40" s="16"/>
      <x:c r="C40" s="15"/>
    </x:row>
    <x:row r="41" ht="58" customHeight="1">
      <x:c r="A41" s="15"/>
      <x:c r="B41" s="16"/>
      <x:c r="C41" s="15"/>
    </x:row>
    <x:row r="42" ht="58" customHeight="1">
      <x:c r="A42" s="15"/>
      <x:c r="B42" s="16"/>
      <x:c r="C42" s="15"/>
    </x:row>
    <x:row r="43" ht="58" customHeight="1">
      <x:c r="A43" s="15"/>
      <x:c r="B43" s="16"/>
      <x:c r="C43" s="15"/>
    </x:row>
    <x:row r="44" ht="58" customHeight="1">
      <x:c r="A44" s="15"/>
      <x:c r="B44" s="16"/>
      <x:c r="C44" s="15"/>
    </x:row>
    <x:row r="45" ht="58" customHeight="1">
      <x:c r="A45" s="15"/>
      <x:c r="B45" s="16"/>
      <x:c r="C45" s="15"/>
    </x:row>
    <x:row r="46" ht="58" customHeight="1">
      <x:c r="A46" s="15"/>
      <x:c r="B46" s="16"/>
      <x:c r="C46" s="15"/>
    </x:row>
    <x:row r="47" ht="58" customHeight="1">
      <x:c r="A47" s="15"/>
      <x:c r="B47" s="16"/>
      <x:c r="C47" s="15"/>
    </x:row>
    <x:row r="48" ht="58" customHeight="1">
      <x:c r="A48" s="15"/>
      <x:c r="B48" s="16"/>
      <x:c r="C48" s="15"/>
    </x:row>
    <x:row r="49" ht="58" customHeight="1">
      <x:c r="A49" s="15"/>
      <x:c r="B49" s="16"/>
      <x:c r="C49" s="15"/>
    </x:row>
    <x:row r="50" ht="58" customHeight="1">
      <x:c r="A50" s="15"/>
      <x:c r="B50" s="16"/>
      <x:c r="C50" s="15"/>
    </x:row>
    <x:row r="51" ht="58" customHeight="1">
      <x:c r="A51" s="15"/>
      <x:c r="B51" s="16"/>
      <x:c r="C51" s="15"/>
    </x:row>
    <x:row r="52" ht="58" customHeight="1">
      <x:c r="A52" s="15"/>
      <x:c r="B52" s="16"/>
      <x:c r="C52" s="15"/>
    </x:row>
    <x:row r="53" ht="58" customHeight="1">
      <x:c r="A53" s="15"/>
      <x:c r="B53" s="16"/>
      <x:c r="C53" s="15"/>
    </x:row>
    <x:row r="54" ht="58" customHeight="1">
      <x:c r="A54" s="15"/>
      <x:c r="B54" s="16"/>
      <x:c r="C54" s="15"/>
    </x:row>
    <x:row r="55" ht="58" customHeight="1">
      <x:c r="A55" s="15"/>
      <x:c r="B55" s="16"/>
      <x:c r="C55" s="1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72" hidden="0" customWidth="1"/>
    <x:col min="3" max="3" width="85" hidden="0" customWidth="1"/>
  </x:cols>
  <x:sheetData>
    <x:row r="1">
      <x:c r="A1" s="14" t="str">
        <x:v>6_Benchmarks</x:v>
      </x:c>
      <x:c r="B1" s="14" t="str">
        <x:v>Giá trị / Công thức</x:v>
      </x:c>
      <x:c r="C1" s="14" t="str">
        <x:v>Ghi chú / bằng chứng</x:v>
      </x:c>
    </x:row>
    <x:row r="2" ht="58" customHeight="1">
      <x:c r="A2" s="15" t="str">
        <x:v>Ngày kiểm tra</x:v>
      </x:c>
      <x:c r="B2" s="16" t="str">
        <x:v>09/10/2026</x:v>
      </x:c>
      <x:c r="C2" s="15" t="str">
        <x:v>Đã mở trang chính thức Anthropic, Intercom, Salesforce; chỉ giá công khai được xác minh.</x:v>
      </x:c>
    </x:row>
    <x:row r="3" ht="58" customHeight="1">
      <x:c r="A3" s="15" t="str">
        <x:v>Anthropic Claude Haiku 4.5</x:v>
      </x:c>
      <x:c r="B3" s="16" t="str">
        <x:v>Input $1/1M; output $5/1M (kiểm tra 09/10/2026)</x:v>
      </x:c>
      <x:c r="C3" s="15" t="str">
        <x:v>https://platform.claude.com/docs/en/models/haiku-4-5/overview</x:v>
      </x:c>
    </x:row>
    <x:row r="4" ht="58" customHeight="1">
      <x:c r="A4" s="15" t="str">
        <x:v>Anthropic prompt cache</x:v>
      </x:c>
      <x:c r="B4" s="16" t="str">
        <x:v>5m cache write $1.25/1M; cache read $0.10/1M (09/10/2026)</x:v>
      </x:c>
      <x:c r="C4" s="15" t="str">
        <x:v>https://platform.claude.com/docs/en/models/haiku-4-5/overview</x:v>
      </x:c>
    </x:row>
    <x:row r="5" ht="58" customHeight="1">
      <x:c r="A5" s="15" t="str">
        <x:v>Intercom Fin</x:v>
      </x:c>
      <x:c r="B5" s="16" t="str">
        <x:v>$0.99/outcome; kiểm tra 09/10/2026</x:v>
      </x:c>
      <x:c r="C5" s="15" t="str">
        <x:v>https://www.intercom.com/pricing</x:v>
      </x:c>
    </x:row>
    <x:row r="6" ht="58" customHeight="1">
      <x:c r="A6" s="15" t="str">
        <x:v>Salesforce Agentforce</x:v>
      </x:c>
      <x:c r="B6" s="16" t="str">
        <x:v>$500/100k credits; 20 credits/action = $0.10; 09/10/2026</x:v>
      </x:c>
      <x:c r="C6" s="15" t="str">
        <x:v>https://www.salesforce.com/agentforce/pricing/</x:v>
      </x:c>
    </x:row>
    <x:row r="7" ht="58" customHeight="1">
      <x:c r="A7" s="15" t="str">
        <x:v>ICONIQ</x:v>
      </x:c>
      <x:c r="B7" s="16" t="str">
        <x:v>Không dùng $6,300/CPO trong mô hình sửa</x:v>
      </x:c>
      <x:c r="C7" s="15" t="str">
        <x:v>https://www.iconiq.com/growth/reports/state-of-ai-2026 ; trang đọc chưa xác nhận con số, khác phân khúc.</x:v>
      </x:c>
    </x:row>
    <x:row r="8" ht="58" customHeight="1">
      <x:c r="A8" s="15" t="str">
        <x:v>Payback SMB</x:v>
      </x:c>
      <x:c r="B8" s="16" t="str">
        <x:v>12 tháng: giới hạn kế hoạch theo đề</x:v>
      </x:c>
      <x:c r="C8" s="15" t="str">
        <x:v>Không trình bày là nguồn Bessemer hiện hành đã xác minh; đầu vào 4_Channel_Fit!B6.</x:v>
      </x:c>
    </x:row>
    <x:row r="9" ht="58" customHeight="1">
      <x:c r="A9" s="15" t="str">
        <x:v>Tunguz 2016</x:v>
      </x:c>
      <x:c r="B9" s="16" t="str">
        <x:v>AE quota $500k/năm – benchmark ví dụ</x:v>
      </x:c>
      <x:c r="C9" s="15" t="str">
        <x:v>https://tomtunguz.com/smallest-acv-to-justify-inside-sales-team/</x:v>
      </x:c>
    </x:row>
    <x:row r="10" ht="58" customHeight="1">
      <x:c r="A10" s="15" t="str">
        <x:v>Tỷ giá</x:v>
      </x:c>
      <x:c r="B10" s="16" t="str">
        <x:v>Không áp dụng; USD xuyên suốt</x:v>
      </x:c>
      <x:c r="C10" s="15" t="str">
        <x:v>Tránh số quy đổi không có nguồn</x:v>
      </x:c>
    </x:row>
    <x:row r="11" ht="58" customHeight="1">
      <x:c r="A11" s="15" t="str">
        <x:v>Giả định chưa xác minh</x:v>
      </x:c>
      <x:c r="B11" s="16" t="str">
        <x:v>Volume, containment, nhân công, thiết bị, setup, giá trị, conversion</x:v>
      </x:c>
      <x:c r="C11" s="15" t="str">
        <x:v>Có cách suy ra và kế hoạch đo; không gọi dữ liệu giả định là dữ liệu thật.</x:v>
      </x:c>
    </x:row>
    <x:row r="12" ht="58" customHeight="1">
      <x:c r="A12" s="15" t="str">
        <x:v>Model khác</x:v>
      </x:c>
      <x:c r="B12" s="16" t="str">
        <x:v>Không dùng trong mô hình</x:v>
      </x:c>
      <x:c r="C12" s="15" t="str">
        <x:v>Giữ Haiku 4.5 nhất quán; thay model cần eval lại và kiểm tra giá trước hợp đồng.</x:v>
      </x:c>
    </x:row>
    <x:row r="13" ht="58" customHeight="1">
      <x:c r="A13" s="15" t="str">
        <x:v>Nguồn dữ liệu tài chính</x:v>
      </x:c>
      <x:c r="B13" s="16" t="str">
        <x:v>Volume, labor, salary, value saved, win rate, CAC pilot: GIẢ ĐỊNH</x:v>
      </x:c>
      <x:c r="C13" s="15" t="str">
        <x:v>Phải xác minh với khách sạn/pilot</x:v>
      </x:c>
    </x:row>
    <x:row r="14" ht="58" customHeight="1">
      <x:c r="A14" s="15" t="str">
        <x:v>Đối chiếu benchmark</x:v>
      </x:c>
      <x:c r="B14" s="16" t="str">
        <x:v>Fin và Agentforce chỉ so sánh cách thu tiền, KHÔNG cùng nghiệp vụ check-in</x:v>
      </x:c>
      <x:c r="C14" s="15" t="str">
        <x:v>https://www.intercom.com/pricing</x:v>
      </x:c>
    </x:row>
    <x:row r="15" ht="58" customHeight="1">
      <x:c r="A15" s="15" t="str">
        <x:v>Quy tắc cập nhật</x:v>
      </x:c>
      <x:c r="B15" s="16" t="str">
        <x:v>Kiểm tra lại giá trước hợp đồng, lưu link/ngày</x:v>
      </x:c>
      <x:c r="C15" s="15" t="str">
        <x:v>Giá hiện tại không chứng minh giá giữ nguyên toàn bộ 90 ngày.</x:v>
      </x:c>
    </x:row>
    <x:row r="16" ht="58" customHeight="1">
      <x:c r="A16" s="15" t="str">
        <x:v>Điều kiện cache Haiku 4.5</x:v>
      </x:c>
      <x:c r="B16" s="16" t="str">
        <x:v>Prefix ≥4.096 tokens; TTL 5 phút; kiểm tra 09/10/2026</x:v>
      </x:c>
      <x:c r="C16" s="15" t="str">
        <x:v>https://platform.claude.com/docs/en/build-with-claude/prompt-caching ; giữ prefix ổn định, kiểm tra usage fields.</x:v>
      </x:c>
    </x:row>
    <x:row r="17" ht="58" customHeight="1">
      <x:c r="A17" s="15"/>
      <x:c r="B17" s="16"/>
      <x:c r="C17" s="15"/>
    </x:row>
    <x:row r="18" ht="58" customHeight="1">
      <x:c r="A18" s="15"/>
      <x:c r="B18" s="16"/>
      <x:c r="C18" s="15"/>
    </x:row>
    <x:row r="19" ht="58" customHeight="1">
      <x:c r="A19" s="15"/>
      <x:c r="B19" s="16"/>
      <x:c r="C19" s="15"/>
    </x:row>
    <x:row r="20" ht="58" customHeight="1">
      <x:c r="A20" s="15"/>
      <x:c r="B20" s="16"/>
      <x:c r="C20" s="15"/>
    </x:row>
    <x:row r="21" ht="58" customHeight="1">
      <x:c r="A21" s="15"/>
      <x:c r="B21" s="16"/>
      <x:c r="C21" s="15"/>
    </x:row>
    <x:row r="22" ht="58" customHeight="1">
      <x:c r="A22" s="15"/>
      <x:c r="B22" s="16"/>
      <x:c r="C22" s="15"/>
    </x:row>
    <x:row r="23" ht="58" customHeight="1">
      <x:c r="A23" s="15"/>
      <x:c r="B23" s="16"/>
      <x:c r="C23" s="15"/>
    </x:row>
    <x:row r="24" ht="58" customHeight="1">
      <x:c r="A24" s="15"/>
      <x:c r="B24" s="16"/>
      <x:c r="C24" s="15"/>
    </x:row>
    <x:row r="25" ht="58" customHeight="1">
      <x:c r="A25" s="15"/>
      <x:c r="B25" s="16"/>
      <x:c r="C25" s="15"/>
    </x:row>
    <x:row r="26" ht="58" customHeight="1">
      <x:c r="A26" s="15"/>
      <x:c r="B26" s="16"/>
      <x:c r="C26" s="15"/>
    </x:row>
    <x:row r="27" ht="58" customHeight="1">
      <x:c r="A27" s="15"/>
      <x:c r="B27" s="16"/>
      <x:c r="C27" s="15"/>
    </x:row>
    <x:row r="28" ht="58" customHeight="1">
      <x:c r="A28" s="15"/>
      <x:c r="B28" s="16"/>
      <x:c r="C28" s="15"/>
    </x:row>
    <x:row r="29" ht="58" customHeight="1">
      <x:c r="A29" s="15"/>
      <x:c r="B29" s="16"/>
      <x:c r="C29" s="15"/>
    </x:row>
    <x:row r="30" ht="58" customHeight="1">
      <x:c r="A30" s="15"/>
      <x:c r="B30" s="16"/>
      <x:c r="C30" s="15"/>
    </x:row>
    <x:row r="31" ht="58" customHeight="1">
      <x:c r="A31" s="15"/>
      <x:c r="B31" s="16"/>
      <x:c r="C31" s="15"/>
    </x:row>
    <x:row r="32" ht="58" customHeight="1">
      <x:c r="A32" s="15"/>
      <x:c r="B32" s="16"/>
      <x:c r="C32" s="15"/>
    </x:row>
    <x:row r="33" ht="58" customHeight="1">
      <x:c r="A33" s="15"/>
      <x:c r="B33" s="16"/>
      <x:c r="C33" s="15"/>
    </x:row>
    <x:row r="34" ht="58" customHeight="1">
      <x:c r="A34" s="15"/>
      <x:c r="B34" s="16"/>
      <x:c r="C34" s="15"/>
    </x:row>
    <x:row r="35" ht="58" customHeight="1">
      <x:c r="A35" s="15"/>
      <x:c r="B35" s="16"/>
      <x:c r="C35" s="15"/>
    </x:row>
    <x:row r="36" ht="58" customHeight="1">
      <x:c r="A36" s="15"/>
      <x:c r="B36" s="16"/>
      <x:c r="C36" s="15"/>
    </x:row>
    <x:row r="37" ht="58" customHeight="1">
      <x:c r="A37" s="15"/>
      <x:c r="B37" s="16"/>
      <x:c r="C37" s="15"/>
    </x:row>
    <x:row r="38" ht="58" customHeight="1">
      <x:c r="A38" s="15"/>
      <x:c r="B38" s="16"/>
      <x:c r="C38" s="15"/>
    </x:row>
    <x:row r="39" ht="58" customHeight="1">
      <x:c r="A39" s="15"/>
      <x:c r="B39" s="16"/>
      <x:c r="C39" s="15"/>
    </x:row>
    <x:row r="40" ht="58" customHeight="1">
      <x:c r="A40" s="15"/>
      <x:c r="B40" s="16"/>
      <x:c r="C40" s="15"/>
    </x:row>
    <x:row r="41" ht="58" customHeight="1">
      <x:c r="A41" s="15"/>
      <x:c r="B41" s="16"/>
      <x:c r="C41" s="15"/>
    </x:row>
    <x:row r="42" ht="58" customHeight="1">
      <x:c r="A42" s="15"/>
      <x:c r="B42" s="16"/>
      <x:c r="C42" s="15"/>
    </x:row>
    <x:row r="43" ht="58" customHeight="1">
      <x:c r="A43" s="15"/>
      <x:c r="B43" s="16"/>
      <x:c r="C43" s="15"/>
    </x:row>
    <x:row r="44" ht="58" customHeight="1">
      <x:c r="A44" s="15"/>
      <x:c r="B44" s="16"/>
      <x:c r="C44" s="15"/>
    </x:row>
    <x:row r="45" ht="58" customHeight="1">
      <x:c r="A45" s="15"/>
      <x:c r="B45" s="16"/>
      <x:c r="C45" s="15"/>
    </x:row>
    <x:row r="46" ht="58" customHeight="1">
      <x:c r="A46" s="15"/>
      <x:c r="B46" s="16"/>
      <x:c r="C46" s="15"/>
    </x:row>
    <x:row r="47" ht="58" customHeight="1">
      <x:c r="A47" s="15"/>
      <x:c r="B47" s="16"/>
      <x:c r="C47" s="15"/>
    </x:row>
    <x:row r="48" ht="58" customHeight="1">
      <x:c r="A48" s="15"/>
      <x:c r="B48" s="16"/>
      <x:c r="C48" s="15"/>
    </x:row>
    <x:row r="49" ht="58" customHeight="1">
      <x:c r="A49" s="15"/>
      <x:c r="B49" s="16"/>
      <x:c r="C49" s="15"/>
    </x:row>
    <x:row r="50" ht="58" customHeight="1">
      <x:c r="A50" s="15"/>
      <x:c r="B50" s="16"/>
      <x:c r="C50" s="15"/>
    </x:row>
    <x:row r="51" ht="58" customHeight="1">
      <x:c r="A51" s="15"/>
      <x:c r="B51" s="16"/>
      <x:c r="C51" s="15"/>
    </x:row>
    <x:row r="52" ht="58" customHeight="1">
      <x:c r="A52" s="15"/>
      <x:c r="B52" s="16"/>
      <x:c r="C52" s="15"/>
    </x:row>
    <x:row r="53" ht="58" customHeight="1">
      <x:c r="A53" s="15"/>
      <x:c r="B53" s="16"/>
      <x:c r="C53" s="15"/>
    </x:row>
    <x:row r="54" ht="58" customHeight="1">
      <x:c r="A54" s="15"/>
      <x:c r="B54" s="16"/>
      <x:c r="C54" s="15"/>
    </x:row>
    <x:row r="55" ht="58" customHeight="1">
      <x:c r="A55" s="15"/>
      <x:c r="B55" s="16"/>
      <x:c r="C55" s="15"/>
    </x:row>
  </x:sheetData>
  <x:pageMargins left="0.7" right="0.7" top="0.75" bottom="0.75" header="0.3" footer="0.3"/>
</x:worksheet>
</file>